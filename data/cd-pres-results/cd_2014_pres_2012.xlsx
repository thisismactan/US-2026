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6d2c5bf27b77b0/Documents/Elections/2026/US-2026/data/cd-pres-results/"/>
    </mc:Choice>
  </mc:AlternateContent>
  <xr:revisionPtr revIDLastSave="5" documentId="11_785E7E4404E7B2021B8A54134FC2C8E5BA4B0598" xr6:coauthVersionLast="47" xr6:coauthVersionMax="47" xr10:uidLastSave="{0AA80209-9AEE-4F8A-B485-853D22881885}"/>
  <bookViews>
    <workbookView xWindow="28680" yWindow="-120" windowWidth="29040" windowHeight="15720" activeTab="1" xr2:uid="{00000000-000D-0000-FFFF-FFFF00000000}"/>
  </bookViews>
  <sheets>
    <sheet name="Results" sheetId="1" r:id="rId1"/>
    <sheet name="Vote totals" sheetId="2" r:id="rId2"/>
    <sheet name="Header" sheetId="3" state="hidden" r:id="rId3"/>
    <sheet name="Detailed results" sheetId="4" state="hidden" r:id="rId4"/>
    <sheet name="Sources" sheetId="5" state="hidden" r:id="rId5"/>
    <sheet name="Data Source Summary" sheetId="6" state="hidden" r:id="rId6"/>
    <sheet name="Info" sheetId="7" r:id="rId7"/>
  </sheets>
  <definedNames>
    <definedName name="CDs" localSheetId="2">Header!$A$1</definedName>
    <definedName name="CDs">Results!$A$2:$A$437</definedName>
    <definedName name="ColumnHeaders" localSheetId="2">Header!$A$1:$G$1</definedName>
    <definedName name="ColumnHeaders">Results!$A$2:$G$2</definedName>
    <definedName name="ColumnHeaders2">'Detailed results'!$A$1:$C$1</definedName>
    <definedName name="States">'Detailed results'!$A$1:$A$51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9" i="5" l="1"/>
  <c r="C108" i="5"/>
  <c r="C107" i="5"/>
  <c r="C106" i="5"/>
  <c r="C105" i="5"/>
  <c r="C104" i="5"/>
  <c r="C103" i="5"/>
  <c r="C102" i="5"/>
  <c r="C101" i="5"/>
  <c r="C100" i="5"/>
  <c r="C99" i="5"/>
  <c r="C98" i="5"/>
  <c r="C96" i="5"/>
  <c r="C95" i="5"/>
  <c r="C94" i="5"/>
  <c r="C93" i="5"/>
  <c r="C91" i="5"/>
  <c r="C90" i="5"/>
  <c r="C89" i="5"/>
  <c r="C88" i="5"/>
  <c r="C87" i="5"/>
  <c r="C86" i="5"/>
  <c r="C83" i="5"/>
  <c r="C82" i="5"/>
  <c r="C81" i="5"/>
  <c r="C80" i="5"/>
  <c r="C78" i="5"/>
  <c r="C76" i="5"/>
  <c r="C75" i="5"/>
  <c r="C74" i="5"/>
  <c r="C73" i="5"/>
  <c r="C71" i="5"/>
  <c r="C68" i="5"/>
  <c r="C66" i="5"/>
  <c r="C65" i="5"/>
  <c r="C64" i="5"/>
  <c r="C63" i="5"/>
  <c r="C62" i="5"/>
  <c r="C61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7" i="5"/>
  <c r="C5" i="5"/>
  <c r="C4" i="5"/>
  <c r="C2" i="5"/>
  <c r="C50" i="4"/>
  <c r="B50" i="4"/>
  <c r="C49" i="4"/>
  <c r="B49" i="4"/>
  <c r="C48" i="4"/>
  <c r="B48" i="4"/>
  <c r="C46" i="4"/>
  <c r="B46" i="4"/>
  <c r="C45" i="4"/>
  <c r="B45" i="4"/>
  <c r="B44" i="4"/>
  <c r="C43" i="4"/>
  <c r="B43" i="4"/>
  <c r="C41" i="4"/>
  <c r="B41" i="4"/>
  <c r="C40" i="4"/>
  <c r="B40" i="4"/>
  <c r="C39" i="4"/>
  <c r="B39" i="4"/>
  <c r="C38" i="4"/>
  <c r="B38" i="4"/>
  <c r="C37" i="4"/>
  <c r="B37" i="4"/>
  <c r="C36" i="4"/>
  <c r="B36" i="4"/>
  <c r="C35" i="4"/>
  <c r="B35" i="4"/>
  <c r="C34" i="4"/>
  <c r="B34" i="4"/>
  <c r="C33" i="4"/>
  <c r="B33" i="4"/>
  <c r="C32" i="4"/>
  <c r="B32" i="4"/>
  <c r="C31" i="4"/>
  <c r="B31" i="4"/>
  <c r="C30" i="4"/>
  <c r="C28" i="4"/>
  <c r="B28" i="4"/>
  <c r="C26" i="4"/>
  <c r="B26" i="4"/>
  <c r="C25" i="4"/>
  <c r="B25" i="4"/>
  <c r="C24" i="4"/>
  <c r="B24" i="4"/>
  <c r="C23" i="4"/>
  <c r="B23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B10" i="4"/>
  <c r="C8" i="4"/>
  <c r="C7" i="4"/>
  <c r="B7" i="4"/>
  <c r="B6" i="4"/>
  <c r="C5" i="4"/>
  <c r="B5" i="4"/>
  <c r="C4" i="4"/>
  <c r="B4" i="4"/>
  <c r="C3" i="4"/>
  <c r="B3" i="4"/>
  <c r="O437" i="2"/>
  <c r="N437" i="2"/>
  <c r="I437" i="2"/>
  <c r="H437" i="2"/>
  <c r="O436" i="2"/>
  <c r="N436" i="2"/>
  <c r="I436" i="2"/>
  <c r="H436" i="2"/>
  <c r="O435" i="2"/>
  <c r="N435" i="2"/>
  <c r="I435" i="2"/>
  <c r="H435" i="2"/>
  <c r="O434" i="2"/>
  <c r="N434" i="2"/>
  <c r="I434" i="2"/>
  <c r="H434" i="2"/>
  <c r="O433" i="2"/>
  <c r="N433" i="2"/>
  <c r="I433" i="2"/>
  <c r="H433" i="2"/>
  <c r="O432" i="2"/>
  <c r="N432" i="2"/>
  <c r="I432" i="2"/>
  <c r="H432" i="2"/>
  <c r="O431" i="2"/>
  <c r="N431" i="2"/>
  <c r="I431" i="2"/>
  <c r="H431" i="2"/>
  <c r="O430" i="2"/>
  <c r="N430" i="2"/>
  <c r="I430" i="2"/>
  <c r="H430" i="2"/>
  <c r="O429" i="2"/>
  <c r="N429" i="2"/>
  <c r="I429" i="2"/>
  <c r="H429" i="2"/>
  <c r="O428" i="2"/>
  <c r="N428" i="2"/>
  <c r="I428" i="2"/>
  <c r="H428" i="2"/>
  <c r="O427" i="2"/>
  <c r="N427" i="2"/>
  <c r="I427" i="2"/>
  <c r="H427" i="2"/>
  <c r="O426" i="2"/>
  <c r="N426" i="2"/>
  <c r="I426" i="2"/>
  <c r="H426" i="2"/>
  <c r="O425" i="2"/>
  <c r="N425" i="2"/>
  <c r="I425" i="2"/>
  <c r="H425" i="2"/>
  <c r="O424" i="2"/>
  <c r="N424" i="2"/>
  <c r="I424" i="2"/>
  <c r="H424" i="2"/>
  <c r="O423" i="2"/>
  <c r="N423" i="2"/>
  <c r="I423" i="2"/>
  <c r="H423" i="2"/>
  <c r="O422" i="2"/>
  <c r="N422" i="2"/>
  <c r="I422" i="2"/>
  <c r="H422" i="2"/>
  <c r="O421" i="2"/>
  <c r="N421" i="2"/>
  <c r="I421" i="2"/>
  <c r="H421" i="2"/>
  <c r="O420" i="2"/>
  <c r="N420" i="2"/>
  <c r="I420" i="2"/>
  <c r="H420" i="2"/>
  <c r="O419" i="2"/>
  <c r="N419" i="2"/>
  <c r="I419" i="2"/>
  <c r="H419" i="2"/>
  <c r="O418" i="2"/>
  <c r="N418" i="2"/>
  <c r="I418" i="2"/>
  <c r="H418" i="2"/>
  <c r="O417" i="2"/>
  <c r="N417" i="2"/>
  <c r="I417" i="2"/>
  <c r="H417" i="2"/>
  <c r="O416" i="2"/>
  <c r="N416" i="2"/>
  <c r="I416" i="2"/>
  <c r="H416" i="2"/>
  <c r="O415" i="2"/>
  <c r="N415" i="2"/>
  <c r="I415" i="2"/>
  <c r="H415" i="2"/>
  <c r="O414" i="2"/>
  <c r="N414" i="2"/>
  <c r="I414" i="2"/>
  <c r="H414" i="2"/>
  <c r="O413" i="2"/>
  <c r="N413" i="2"/>
  <c r="I413" i="2"/>
  <c r="H413" i="2"/>
  <c r="O412" i="2"/>
  <c r="N412" i="2"/>
  <c r="I412" i="2"/>
  <c r="H412" i="2"/>
  <c r="O411" i="2"/>
  <c r="N411" i="2"/>
  <c r="I411" i="2"/>
  <c r="H411" i="2"/>
  <c r="O410" i="2"/>
  <c r="N410" i="2"/>
  <c r="I410" i="2"/>
  <c r="H410" i="2"/>
  <c r="O409" i="2"/>
  <c r="N409" i="2"/>
  <c r="I409" i="2"/>
  <c r="H409" i="2"/>
  <c r="O408" i="2"/>
  <c r="N408" i="2"/>
  <c r="I408" i="2"/>
  <c r="H408" i="2"/>
  <c r="O407" i="2"/>
  <c r="N407" i="2"/>
  <c r="I407" i="2"/>
  <c r="H407" i="2"/>
  <c r="O406" i="2"/>
  <c r="N406" i="2"/>
  <c r="I406" i="2"/>
  <c r="H406" i="2"/>
  <c r="O405" i="2"/>
  <c r="N405" i="2"/>
  <c r="I405" i="2"/>
  <c r="H405" i="2"/>
  <c r="O404" i="2"/>
  <c r="N404" i="2"/>
  <c r="I404" i="2"/>
  <c r="H404" i="2"/>
  <c r="O403" i="2"/>
  <c r="N403" i="2"/>
  <c r="I403" i="2"/>
  <c r="H403" i="2"/>
  <c r="O402" i="2"/>
  <c r="N402" i="2"/>
  <c r="I402" i="2"/>
  <c r="H402" i="2"/>
  <c r="O401" i="2"/>
  <c r="N401" i="2"/>
  <c r="I401" i="2"/>
  <c r="H401" i="2"/>
  <c r="O400" i="2"/>
  <c r="N400" i="2"/>
  <c r="I400" i="2"/>
  <c r="H400" i="2"/>
  <c r="O399" i="2"/>
  <c r="N399" i="2"/>
  <c r="I399" i="2"/>
  <c r="H399" i="2"/>
  <c r="O398" i="2"/>
  <c r="N398" i="2"/>
  <c r="I398" i="2"/>
  <c r="H398" i="2"/>
  <c r="O397" i="2"/>
  <c r="N397" i="2"/>
  <c r="I397" i="2"/>
  <c r="H397" i="2"/>
  <c r="O396" i="2"/>
  <c r="N396" i="2"/>
  <c r="I396" i="2"/>
  <c r="H396" i="2"/>
  <c r="O395" i="2"/>
  <c r="N395" i="2"/>
  <c r="I395" i="2"/>
  <c r="H395" i="2"/>
  <c r="O394" i="2"/>
  <c r="N394" i="2"/>
  <c r="I394" i="2"/>
  <c r="H394" i="2"/>
  <c r="O393" i="2"/>
  <c r="N393" i="2"/>
  <c r="I393" i="2"/>
  <c r="H393" i="2"/>
  <c r="O392" i="2"/>
  <c r="N392" i="2"/>
  <c r="I392" i="2"/>
  <c r="H392" i="2"/>
  <c r="O391" i="2"/>
  <c r="N391" i="2"/>
  <c r="I391" i="2"/>
  <c r="H391" i="2"/>
  <c r="O390" i="2"/>
  <c r="N390" i="2"/>
  <c r="I390" i="2"/>
  <c r="H390" i="2"/>
  <c r="O389" i="2"/>
  <c r="N389" i="2"/>
  <c r="I389" i="2"/>
  <c r="H389" i="2"/>
  <c r="O388" i="2"/>
  <c r="N388" i="2"/>
  <c r="I388" i="2"/>
  <c r="H388" i="2"/>
  <c r="O387" i="2"/>
  <c r="N387" i="2"/>
  <c r="I387" i="2"/>
  <c r="H387" i="2"/>
  <c r="O386" i="2"/>
  <c r="N386" i="2"/>
  <c r="I386" i="2"/>
  <c r="H386" i="2"/>
  <c r="O385" i="2"/>
  <c r="N385" i="2"/>
  <c r="I385" i="2"/>
  <c r="H385" i="2"/>
  <c r="O384" i="2"/>
  <c r="N384" i="2"/>
  <c r="I384" i="2"/>
  <c r="H384" i="2"/>
  <c r="O383" i="2"/>
  <c r="N383" i="2"/>
  <c r="I383" i="2"/>
  <c r="H383" i="2"/>
  <c r="O382" i="2"/>
  <c r="N382" i="2"/>
  <c r="I382" i="2"/>
  <c r="H382" i="2"/>
  <c r="O381" i="2"/>
  <c r="N381" i="2"/>
  <c r="I381" i="2"/>
  <c r="H381" i="2"/>
  <c r="O380" i="2"/>
  <c r="N380" i="2"/>
  <c r="I380" i="2"/>
  <c r="H380" i="2"/>
  <c r="O379" i="2"/>
  <c r="N379" i="2"/>
  <c r="I379" i="2"/>
  <c r="H379" i="2"/>
  <c r="O378" i="2"/>
  <c r="N378" i="2"/>
  <c r="I378" i="2"/>
  <c r="H378" i="2"/>
  <c r="O377" i="2"/>
  <c r="N377" i="2"/>
  <c r="I377" i="2"/>
  <c r="H377" i="2"/>
  <c r="O376" i="2"/>
  <c r="N376" i="2"/>
  <c r="I376" i="2"/>
  <c r="H376" i="2"/>
  <c r="O375" i="2"/>
  <c r="N375" i="2"/>
  <c r="I375" i="2"/>
  <c r="H375" i="2"/>
  <c r="O374" i="2"/>
  <c r="N374" i="2"/>
  <c r="I374" i="2"/>
  <c r="H374" i="2"/>
  <c r="O373" i="2"/>
  <c r="N373" i="2"/>
  <c r="I373" i="2"/>
  <c r="H373" i="2"/>
  <c r="O372" i="2"/>
  <c r="N372" i="2"/>
  <c r="I372" i="2"/>
  <c r="H372" i="2"/>
  <c r="O371" i="2"/>
  <c r="N371" i="2"/>
  <c r="I371" i="2"/>
  <c r="H371" i="2"/>
  <c r="O370" i="2"/>
  <c r="N370" i="2"/>
  <c r="I370" i="2"/>
  <c r="H370" i="2"/>
  <c r="O369" i="2"/>
  <c r="N369" i="2"/>
  <c r="I369" i="2"/>
  <c r="H369" i="2"/>
  <c r="O368" i="2"/>
  <c r="N368" i="2"/>
  <c r="I368" i="2"/>
  <c r="H368" i="2"/>
  <c r="O367" i="2"/>
  <c r="N367" i="2"/>
  <c r="I367" i="2"/>
  <c r="H367" i="2"/>
  <c r="O366" i="2"/>
  <c r="N366" i="2"/>
  <c r="I366" i="2"/>
  <c r="H366" i="2"/>
  <c r="O365" i="2"/>
  <c r="N365" i="2"/>
  <c r="I365" i="2"/>
  <c r="H365" i="2"/>
  <c r="O364" i="2"/>
  <c r="N364" i="2"/>
  <c r="I364" i="2"/>
  <c r="H364" i="2"/>
  <c r="O363" i="2"/>
  <c r="N363" i="2"/>
  <c r="I363" i="2"/>
  <c r="H363" i="2"/>
  <c r="O362" i="2"/>
  <c r="N362" i="2"/>
  <c r="I362" i="2"/>
  <c r="H362" i="2"/>
  <c r="O361" i="2"/>
  <c r="N361" i="2"/>
  <c r="I361" i="2"/>
  <c r="H361" i="2"/>
  <c r="O360" i="2"/>
  <c r="N360" i="2"/>
  <c r="I360" i="2"/>
  <c r="H360" i="2"/>
  <c r="O359" i="2"/>
  <c r="N359" i="2"/>
  <c r="I359" i="2"/>
  <c r="H359" i="2"/>
  <c r="O358" i="2"/>
  <c r="N358" i="2"/>
  <c r="I358" i="2"/>
  <c r="H358" i="2"/>
  <c r="O357" i="2"/>
  <c r="N357" i="2"/>
  <c r="I357" i="2"/>
  <c r="H357" i="2"/>
  <c r="O356" i="2"/>
  <c r="N356" i="2"/>
  <c r="I356" i="2"/>
  <c r="H356" i="2"/>
  <c r="O355" i="2"/>
  <c r="N355" i="2"/>
  <c r="I355" i="2"/>
  <c r="H355" i="2"/>
  <c r="O354" i="2"/>
  <c r="N354" i="2"/>
  <c r="I354" i="2"/>
  <c r="H354" i="2"/>
  <c r="O353" i="2"/>
  <c r="N353" i="2"/>
  <c r="I353" i="2"/>
  <c r="H353" i="2"/>
  <c r="O352" i="2"/>
  <c r="N352" i="2"/>
  <c r="I352" i="2"/>
  <c r="H352" i="2"/>
  <c r="O351" i="2"/>
  <c r="N351" i="2"/>
  <c r="I351" i="2"/>
  <c r="H351" i="2"/>
  <c r="O350" i="2"/>
  <c r="N350" i="2"/>
  <c r="I350" i="2"/>
  <c r="H350" i="2"/>
  <c r="O349" i="2"/>
  <c r="N349" i="2"/>
  <c r="I349" i="2"/>
  <c r="H349" i="2"/>
  <c r="O348" i="2"/>
  <c r="N348" i="2"/>
  <c r="I348" i="2"/>
  <c r="H348" i="2"/>
  <c r="O347" i="2"/>
  <c r="N347" i="2"/>
  <c r="I347" i="2"/>
  <c r="H347" i="2"/>
  <c r="O346" i="2"/>
  <c r="N346" i="2"/>
  <c r="I346" i="2"/>
  <c r="H346" i="2"/>
  <c r="O345" i="2"/>
  <c r="N345" i="2"/>
  <c r="I345" i="2"/>
  <c r="H345" i="2"/>
  <c r="O344" i="2"/>
  <c r="N344" i="2"/>
  <c r="I344" i="2"/>
  <c r="H344" i="2"/>
  <c r="O343" i="2"/>
  <c r="N343" i="2"/>
  <c r="I343" i="2"/>
  <c r="H343" i="2"/>
  <c r="O342" i="2"/>
  <c r="N342" i="2"/>
  <c r="I342" i="2"/>
  <c r="H342" i="2"/>
  <c r="O341" i="2"/>
  <c r="N341" i="2"/>
  <c r="I341" i="2"/>
  <c r="H341" i="2"/>
  <c r="O340" i="2"/>
  <c r="N340" i="2"/>
  <c r="I340" i="2"/>
  <c r="H340" i="2"/>
  <c r="O339" i="2"/>
  <c r="N339" i="2"/>
  <c r="I339" i="2"/>
  <c r="H339" i="2"/>
  <c r="O338" i="2"/>
  <c r="N338" i="2"/>
  <c r="I338" i="2"/>
  <c r="H338" i="2"/>
  <c r="O337" i="2"/>
  <c r="N337" i="2"/>
  <c r="I337" i="2"/>
  <c r="H337" i="2"/>
  <c r="O336" i="2"/>
  <c r="N336" i="2"/>
  <c r="I336" i="2"/>
  <c r="H336" i="2"/>
  <c r="O335" i="2"/>
  <c r="N335" i="2"/>
  <c r="I335" i="2"/>
  <c r="H335" i="2"/>
  <c r="O334" i="2"/>
  <c r="N334" i="2"/>
  <c r="I334" i="2"/>
  <c r="H334" i="2"/>
  <c r="O333" i="2"/>
  <c r="N333" i="2"/>
  <c r="I333" i="2"/>
  <c r="H333" i="2"/>
  <c r="O332" i="2"/>
  <c r="N332" i="2"/>
  <c r="I332" i="2"/>
  <c r="H332" i="2"/>
  <c r="O331" i="2"/>
  <c r="N331" i="2"/>
  <c r="I331" i="2"/>
  <c r="H331" i="2"/>
  <c r="O330" i="2"/>
  <c r="N330" i="2"/>
  <c r="I330" i="2"/>
  <c r="H330" i="2"/>
  <c r="O329" i="2"/>
  <c r="N329" i="2"/>
  <c r="I329" i="2"/>
  <c r="H329" i="2"/>
  <c r="O328" i="2"/>
  <c r="N328" i="2"/>
  <c r="I328" i="2"/>
  <c r="H328" i="2"/>
  <c r="O327" i="2"/>
  <c r="N327" i="2"/>
  <c r="I327" i="2"/>
  <c r="H327" i="2"/>
  <c r="O326" i="2"/>
  <c r="N326" i="2"/>
  <c r="I326" i="2"/>
  <c r="H326" i="2"/>
  <c r="O325" i="2"/>
  <c r="N325" i="2"/>
  <c r="I325" i="2"/>
  <c r="H325" i="2"/>
  <c r="O324" i="2"/>
  <c r="N324" i="2"/>
  <c r="I324" i="2"/>
  <c r="H324" i="2"/>
  <c r="O323" i="2"/>
  <c r="N323" i="2"/>
  <c r="I323" i="2"/>
  <c r="H323" i="2"/>
  <c r="O322" i="2"/>
  <c r="N322" i="2"/>
  <c r="I322" i="2"/>
  <c r="H322" i="2"/>
  <c r="O321" i="2"/>
  <c r="N321" i="2"/>
  <c r="I321" i="2"/>
  <c r="H321" i="2"/>
  <c r="O320" i="2"/>
  <c r="N320" i="2"/>
  <c r="I320" i="2"/>
  <c r="H320" i="2"/>
  <c r="O319" i="2"/>
  <c r="N319" i="2"/>
  <c r="I319" i="2"/>
  <c r="H319" i="2"/>
  <c r="O318" i="2"/>
  <c r="N318" i="2"/>
  <c r="I318" i="2"/>
  <c r="H318" i="2"/>
  <c r="O317" i="2"/>
  <c r="N317" i="2"/>
  <c r="I317" i="2"/>
  <c r="H317" i="2"/>
  <c r="O316" i="2"/>
  <c r="N316" i="2"/>
  <c r="I316" i="2"/>
  <c r="H316" i="2"/>
  <c r="O315" i="2"/>
  <c r="N315" i="2"/>
  <c r="I315" i="2"/>
  <c r="H315" i="2"/>
  <c r="O314" i="2"/>
  <c r="N314" i="2"/>
  <c r="I314" i="2"/>
  <c r="H314" i="2"/>
  <c r="O313" i="2"/>
  <c r="N313" i="2"/>
  <c r="I313" i="2"/>
  <c r="H313" i="2"/>
  <c r="O312" i="2"/>
  <c r="N312" i="2"/>
  <c r="I312" i="2"/>
  <c r="H312" i="2"/>
  <c r="O311" i="2"/>
  <c r="N311" i="2"/>
  <c r="I311" i="2"/>
  <c r="H311" i="2"/>
  <c r="O310" i="2"/>
  <c r="N310" i="2"/>
  <c r="I310" i="2"/>
  <c r="H310" i="2"/>
  <c r="O309" i="2"/>
  <c r="N309" i="2"/>
  <c r="I309" i="2"/>
  <c r="H309" i="2"/>
  <c r="O308" i="2"/>
  <c r="N308" i="2"/>
  <c r="I308" i="2"/>
  <c r="H308" i="2"/>
  <c r="O307" i="2"/>
  <c r="N307" i="2"/>
  <c r="I307" i="2"/>
  <c r="H307" i="2"/>
  <c r="O306" i="2"/>
  <c r="N306" i="2"/>
  <c r="I306" i="2"/>
  <c r="H306" i="2"/>
  <c r="O305" i="2"/>
  <c r="N305" i="2"/>
  <c r="I305" i="2"/>
  <c r="H305" i="2"/>
  <c r="O304" i="2"/>
  <c r="N304" i="2"/>
  <c r="I304" i="2"/>
  <c r="H304" i="2"/>
  <c r="O303" i="2"/>
  <c r="N303" i="2"/>
  <c r="I303" i="2"/>
  <c r="H303" i="2"/>
  <c r="O302" i="2"/>
  <c r="N302" i="2"/>
  <c r="I302" i="2"/>
  <c r="H302" i="2"/>
  <c r="O301" i="2"/>
  <c r="N301" i="2"/>
  <c r="I301" i="2"/>
  <c r="H301" i="2"/>
  <c r="O300" i="2"/>
  <c r="N300" i="2"/>
  <c r="I300" i="2"/>
  <c r="H300" i="2"/>
  <c r="O299" i="2"/>
  <c r="N299" i="2"/>
  <c r="I299" i="2"/>
  <c r="H299" i="2"/>
  <c r="O298" i="2"/>
  <c r="N298" i="2"/>
  <c r="I298" i="2"/>
  <c r="H298" i="2"/>
  <c r="O297" i="2"/>
  <c r="N297" i="2"/>
  <c r="I297" i="2"/>
  <c r="H297" i="2"/>
  <c r="O296" i="2"/>
  <c r="N296" i="2"/>
  <c r="I296" i="2"/>
  <c r="H296" i="2"/>
  <c r="O295" i="2"/>
  <c r="N295" i="2"/>
  <c r="I295" i="2"/>
  <c r="H295" i="2"/>
  <c r="O294" i="2"/>
  <c r="N294" i="2"/>
  <c r="I294" i="2"/>
  <c r="H294" i="2"/>
  <c r="O293" i="2"/>
  <c r="N293" i="2"/>
  <c r="I293" i="2"/>
  <c r="H293" i="2"/>
  <c r="O292" i="2"/>
  <c r="N292" i="2"/>
  <c r="I292" i="2"/>
  <c r="H292" i="2"/>
  <c r="O291" i="2"/>
  <c r="N291" i="2"/>
  <c r="I291" i="2"/>
  <c r="H291" i="2"/>
  <c r="O290" i="2"/>
  <c r="N290" i="2"/>
  <c r="I290" i="2"/>
  <c r="H290" i="2"/>
  <c r="O289" i="2"/>
  <c r="N289" i="2"/>
  <c r="I289" i="2"/>
  <c r="H289" i="2"/>
  <c r="O288" i="2"/>
  <c r="N288" i="2"/>
  <c r="I288" i="2"/>
  <c r="H288" i="2"/>
  <c r="O287" i="2"/>
  <c r="N287" i="2"/>
  <c r="I287" i="2"/>
  <c r="H287" i="2"/>
  <c r="O286" i="2"/>
  <c r="N286" i="2"/>
  <c r="I286" i="2"/>
  <c r="H286" i="2"/>
  <c r="O285" i="2"/>
  <c r="N285" i="2"/>
  <c r="I285" i="2"/>
  <c r="H285" i="2"/>
  <c r="O284" i="2"/>
  <c r="N284" i="2"/>
  <c r="I284" i="2"/>
  <c r="H284" i="2"/>
  <c r="O283" i="2"/>
  <c r="N283" i="2"/>
  <c r="I283" i="2"/>
  <c r="H283" i="2"/>
  <c r="O282" i="2"/>
  <c r="N282" i="2"/>
  <c r="I282" i="2"/>
  <c r="H282" i="2"/>
  <c r="O281" i="2"/>
  <c r="N281" i="2"/>
  <c r="I281" i="2"/>
  <c r="H281" i="2"/>
  <c r="O280" i="2"/>
  <c r="N280" i="2"/>
  <c r="I280" i="2"/>
  <c r="H280" i="2"/>
  <c r="O279" i="2"/>
  <c r="N279" i="2"/>
  <c r="I279" i="2"/>
  <c r="H279" i="2"/>
  <c r="O278" i="2"/>
  <c r="N278" i="2"/>
  <c r="I278" i="2"/>
  <c r="H278" i="2"/>
  <c r="O277" i="2"/>
  <c r="N277" i="2"/>
  <c r="I277" i="2"/>
  <c r="H277" i="2"/>
  <c r="O276" i="2"/>
  <c r="N276" i="2"/>
  <c r="I276" i="2"/>
  <c r="H276" i="2"/>
  <c r="O275" i="2"/>
  <c r="N275" i="2"/>
  <c r="I275" i="2"/>
  <c r="H275" i="2"/>
  <c r="O274" i="2"/>
  <c r="N274" i="2"/>
  <c r="I274" i="2"/>
  <c r="H274" i="2"/>
  <c r="O273" i="2"/>
  <c r="N273" i="2"/>
  <c r="I273" i="2"/>
  <c r="H273" i="2"/>
  <c r="O272" i="2"/>
  <c r="N272" i="2"/>
  <c r="I272" i="2"/>
  <c r="H272" i="2"/>
  <c r="O271" i="2"/>
  <c r="N271" i="2"/>
  <c r="I271" i="2"/>
  <c r="H271" i="2"/>
  <c r="O270" i="2"/>
  <c r="N270" i="2"/>
  <c r="I270" i="2"/>
  <c r="H270" i="2"/>
  <c r="O269" i="2"/>
  <c r="N269" i="2"/>
  <c r="I269" i="2"/>
  <c r="H269" i="2"/>
  <c r="O268" i="2"/>
  <c r="N268" i="2"/>
  <c r="I268" i="2"/>
  <c r="H268" i="2"/>
  <c r="O267" i="2"/>
  <c r="N267" i="2"/>
  <c r="I267" i="2"/>
  <c r="H267" i="2"/>
  <c r="O266" i="2"/>
  <c r="N266" i="2"/>
  <c r="I266" i="2"/>
  <c r="H266" i="2"/>
  <c r="O265" i="2"/>
  <c r="N265" i="2"/>
  <c r="I265" i="2"/>
  <c r="H265" i="2"/>
  <c r="O264" i="2"/>
  <c r="N264" i="2"/>
  <c r="I264" i="2"/>
  <c r="H264" i="2"/>
  <c r="O263" i="2"/>
  <c r="N263" i="2"/>
  <c r="I263" i="2"/>
  <c r="H263" i="2"/>
  <c r="O262" i="2"/>
  <c r="N262" i="2"/>
  <c r="I262" i="2"/>
  <c r="H262" i="2"/>
  <c r="O261" i="2"/>
  <c r="N261" i="2"/>
  <c r="I261" i="2"/>
  <c r="H261" i="2"/>
  <c r="O260" i="2"/>
  <c r="N260" i="2"/>
  <c r="I260" i="2"/>
  <c r="H260" i="2"/>
  <c r="O259" i="2"/>
  <c r="N259" i="2"/>
  <c r="I259" i="2"/>
  <c r="H259" i="2"/>
  <c r="O258" i="2"/>
  <c r="N258" i="2"/>
  <c r="I258" i="2"/>
  <c r="H258" i="2"/>
  <c r="O257" i="2"/>
  <c r="N257" i="2"/>
  <c r="I257" i="2"/>
  <c r="H257" i="2"/>
  <c r="O256" i="2"/>
  <c r="N256" i="2"/>
  <c r="I256" i="2"/>
  <c r="H256" i="2"/>
  <c r="O255" i="2"/>
  <c r="N255" i="2"/>
  <c r="I255" i="2"/>
  <c r="H255" i="2"/>
  <c r="O254" i="2"/>
  <c r="N254" i="2"/>
  <c r="I254" i="2"/>
  <c r="H254" i="2"/>
  <c r="O253" i="2"/>
  <c r="N253" i="2"/>
  <c r="I253" i="2"/>
  <c r="H253" i="2"/>
  <c r="O252" i="2"/>
  <c r="N252" i="2"/>
  <c r="I252" i="2"/>
  <c r="H252" i="2"/>
  <c r="O251" i="2"/>
  <c r="N251" i="2"/>
  <c r="I251" i="2"/>
  <c r="H251" i="2"/>
  <c r="O250" i="2"/>
  <c r="N250" i="2"/>
  <c r="I250" i="2"/>
  <c r="H250" i="2"/>
  <c r="O249" i="2"/>
  <c r="N249" i="2"/>
  <c r="I249" i="2"/>
  <c r="H249" i="2"/>
  <c r="O248" i="2"/>
  <c r="N248" i="2"/>
  <c r="I248" i="2"/>
  <c r="H248" i="2"/>
  <c r="O247" i="2"/>
  <c r="N247" i="2"/>
  <c r="I247" i="2"/>
  <c r="H247" i="2"/>
  <c r="O246" i="2"/>
  <c r="N246" i="2"/>
  <c r="I246" i="2"/>
  <c r="H246" i="2"/>
  <c r="O245" i="2"/>
  <c r="N245" i="2"/>
  <c r="I245" i="2"/>
  <c r="H245" i="2"/>
  <c r="O244" i="2"/>
  <c r="N244" i="2"/>
  <c r="I244" i="2"/>
  <c r="H244" i="2"/>
  <c r="O243" i="2"/>
  <c r="N243" i="2"/>
  <c r="I243" i="2"/>
  <c r="H243" i="2"/>
  <c r="O242" i="2"/>
  <c r="N242" i="2"/>
  <c r="I242" i="2"/>
  <c r="H242" i="2"/>
  <c r="O241" i="2"/>
  <c r="N241" i="2"/>
  <c r="I241" i="2"/>
  <c r="H241" i="2"/>
  <c r="O240" i="2"/>
  <c r="N240" i="2"/>
  <c r="I240" i="2"/>
  <c r="H240" i="2"/>
  <c r="O239" i="2"/>
  <c r="N239" i="2"/>
  <c r="I239" i="2"/>
  <c r="H239" i="2"/>
  <c r="O238" i="2"/>
  <c r="N238" i="2"/>
  <c r="I238" i="2"/>
  <c r="H238" i="2"/>
  <c r="O237" i="2"/>
  <c r="N237" i="2"/>
  <c r="I237" i="2"/>
  <c r="H237" i="2"/>
  <c r="O236" i="2"/>
  <c r="N236" i="2"/>
  <c r="I236" i="2"/>
  <c r="H236" i="2"/>
  <c r="O235" i="2"/>
  <c r="N235" i="2"/>
  <c r="I235" i="2"/>
  <c r="H235" i="2"/>
  <c r="O234" i="2"/>
  <c r="N234" i="2"/>
  <c r="I234" i="2"/>
  <c r="H234" i="2"/>
  <c r="O233" i="2"/>
  <c r="N233" i="2"/>
  <c r="I233" i="2"/>
  <c r="H233" i="2"/>
  <c r="O232" i="2"/>
  <c r="N232" i="2"/>
  <c r="I232" i="2"/>
  <c r="H232" i="2"/>
  <c r="O231" i="2"/>
  <c r="N231" i="2"/>
  <c r="I231" i="2"/>
  <c r="H231" i="2"/>
  <c r="O230" i="2"/>
  <c r="N230" i="2"/>
  <c r="I230" i="2"/>
  <c r="H230" i="2"/>
  <c r="O229" i="2"/>
  <c r="N229" i="2"/>
  <c r="I229" i="2"/>
  <c r="H229" i="2"/>
  <c r="O228" i="2"/>
  <c r="N228" i="2"/>
  <c r="I228" i="2"/>
  <c r="H228" i="2"/>
  <c r="O227" i="2"/>
  <c r="N227" i="2"/>
  <c r="I227" i="2"/>
  <c r="H227" i="2"/>
  <c r="O226" i="2"/>
  <c r="N226" i="2"/>
  <c r="I226" i="2"/>
  <c r="H226" i="2"/>
  <c r="O225" i="2"/>
  <c r="N225" i="2"/>
  <c r="I225" i="2"/>
  <c r="H225" i="2"/>
  <c r="O224" i="2"/>
  <c r="N224" i="2"/>
  <c r="I224" i="2"/>
  <c r="H224" i="2"/>
  <c r="O223" i="2"/>
  <c r="N223" i="2"/>
  <c r="I223" i="2"/>
  <c r="H223" i="2"/>
  <c r="O222" i="2"/>
  <c r="N222" i="2"/>
  <c r="I222" i="2"/>
  <c r="H222" i="2"/>
  <c r="O221" i="2"/>
  <c r="N221" i="2"/>
  <c r="I221" i="2"/>
  <c r="H221" i="2"/>
  <c r="O220" i="2"/>
  <c r="N220" i="2"/>
  <c r="I220" i="2"/>
  <c r="H220" i="2"/>
  <c r="O219" i="2"/>
  <c r="N219" i="2"/>
  <c r="I219" i="2"/>
  <c r="H219" i="2"/>
  <c r="O218" i="2"/>
  <c r="N218" i="2"/>
  <c r="I218" i="2"/>
  <c r="H218" i="2"/>
  <c r="O217" i="2"/>
  <c r="N217" i="2"/>
  <c r="I217" i="2"/>
  <c r="H217" i="2"/>
  <c r="O216" i="2"/>
  <c r="N216" i="2"/>
  <c r="I216" i="2"/>
  <c r="H216" i="2"/>
  <c r="O215" i="2"/>
  <c r="N215" i="2"/>
  <c r="I215" i="2"/>
  <c r="H215" i="2"/>
  <c r="O214" i="2"/>
  <c r="N214" i="2"/>
  <c r="I214" i="2"/>
  <c r="H214" i="2"/>
  <c r="O213" i="2"/>
  <c r="N213" i="2"/>
  <c r="I213" i="2"/>
  <c r="H213" i="2"/>
  <c r="O212" i="2"/>
  <c r="N212" i="2"/>
  <c r="I212" i="2"/>
  <c r="H212" i="2"/>
  <c r="O211" i="2"/>
  <c r="N211" i="2"/>
  <c r="I211" i="2"/>
  <c r="H211" i="2"/>
  <c r="O210" i="2"/>
  <c r="N210" i="2"/>
  <c r="I210" i="2"/>
  <c r="H210" i="2"/>
  <c r="O209" i="2"/>
  <c r="N209" i="2"/>
  <c r="I209" i="2"/>
  <c r="H209" i="2"/>
  <c r="O208" i="2"/>
  <c r="N208" i="2"/>
  <c r="I208" i="2"/>
  <c r="H208" i="2"/>
  <c r="O207" i="2"/>
  <c r="N207" i="2"/>
  <c r="I207" i="2"/>
  <c r="H207" i="2"/>
  <c r="O206" i="2"/>
  <c r="N206" i="2"/>
  <c r="I206" i="2"/>
  <c r="H206" i="2"/>
  <c r="O205" i="2"/>
  <c r="N205" i="2"/>
  <c r="I205" i="2"/>
  <c r="H205" i="2"/>
  <c r="O204" i="2"/>
  <c r="N204" i="2"/>
  <c r="I204" i="2"/>
  <c r="H204" i="2"/>
  <c r="O203" i="2"/>
  <c r="N203" i="2"/>
  <c r="I203" i="2"/>
  <c r="H203" i="2"/>
  <c r="O202" i="2"/>
  <c r="N202" i="2"/>
  <c r="I202" i="2"/>
  <c r="H202" i="2"/>
  <c r="O201" i="2"/>
  <c r="N201" i="2"/>
  <c r="I201" i="2"/>
  <c r="H201" i="2"/>
  <c r="O200" i="2"/>
  <c r="N200" i="2"/>
  <c r="I200" i="2"/>
  <c r="H200" i="2"/>
  <c r="O199" i="2"/>
  <c r="N199" i="2"/>
  <c r="I199" i="2"/>
  <c r="H199" i="2"/>
  <c r="O198" i="2"/>
  <c r="N198" i="2"/>
  <c r="I198" i="2"/>
  <c r="H198" i="2"/>
  <c r="O197" i="2"/>
  <c r="N197" i="2"/>
  <c r="I197" i="2"/>
  <c r="H197" i="2"/>
  <c r="O196" i="2"/>
  <c r="N196" i="2"/>
  <c r="I196" i="2"/>
  <c r="H196" i="2"/>
  <c r="O195" i="2"/>
  <c r="N195" i="2"/>
  <c r="I195" i="2"/>
  <c r="H195" i="2"/>
  <c r="O194" i="2"/>
  <c r="N194" i="2"/>
  <c r="I194" i="2"/>
  <c r="H194" i="2"/>
  <c r="O193" i="2"/>
  <c r="N193" i="2"/>
  <c r="I193" i="2"/>
  <c r="H193" i="2"/>
  <c r="O192" i="2"/>
  <c r="N192" i="2"/>
  <c r="I192" i="2"/>
  <c r="H192" i="2"/>
  <c r="O191" i="2"/>
  <c r="N191" i="2"/>
  <c r="I191" i="2"/>
  <c r="H191" i="2"/>
  <c r="O190" i="2"/>
  <c r="N190" i="2"/>
  <c r="I190" i="2"/>
  <c r="H190" i="2"/>
  <c r="O189" i="2"/>
  <c r="N189" i="2"/>
  <c r="I189" i="2"/>
  <c r="H189" i="2"/>
  <c r="O188" i="2"/>
  <c r="N188" i="2"/>
  <c r="I188" i="2"/>
  <c r="H188" i="2"/>
  <c r="O187" i="2"/>
  <c r="N187" i="2"/>
  <c r="I187" i="2"/>
  <c r="H187" i="2"/>
  <c r="O186" i="2"/>
  <c r="N186" i="2"/>
  <c r="I186" i="2"/>
  <c r="H186" i="2"/>
  <c r="O185" i="2"/>
  <c r="N185" i="2"/>
  <c r="I185" i="2"/>
  <c r="H185" i="2"/>
  <c r="O184" i="2"/>
  <c r="N184" i="2"/>
  <c r="I184" i="2"/>
  <c r="H184" i="2"/>
  <c r="O183" i="2"/>
  <c r="N183" i="2"/>
  <c r="I183" i="2"/>
  <c r="H183" i="2"/>
  <c r="O182" i="2"/>
  <c r="N182" i="2"/>
  <c r="I182" i="2"/>
  <c r="H182" i="2"/>
  <c r="O181" i="2"/>
  <c r="N181" i="2"/>
  <c r="I181" i="2"/>
  <c r="H181" i="2"/>
  <c r="O180" i="2"/>
  <c r="N180" i="2"/>
  <c r="I180" i="2"/>
  <c r="H180" i="2"/>
  <c r="O179" i="2"/>
  <c r="N179" i="2"/>
  <c r="I179" i="2"/>
  <c r="H179" i="2"/>
  <c r="O178" i="2"/>
  <c r="N178" i="2"/>
  <c r="I178" i="2"/>
  <c r="H178" i="2"/>
  <c r="O177" i="2"/>
  <c r="N177" i="2"/>
  <c r="I177" i="2"/>
  <c r="H177" i="2"/>
  <c r="O176" i="2"/>
  <c r="N176" i="2"/>
  <c r="I176" i="2"/>
  <c r="H176" i="2"/>
  <c r="O175" i="2"/>
  <c r="N175" i="2"/>
  <c r="I175" i="2"/>
  <c r="H175" i="2"/>
  <c r="O174" i="2"/>
  <c r="N174" i="2"/>
  <c r="I174" i="2"/>
  <c r="H174" i="2"/>
  <c r="O173" i="2"/>
  <c r="N173" i="2"/>
  <c r="I173" i="2"/>
  <c r="H173" i="2"/>
  <c r="O172" i="2"/>
  <c r="N172" i="2"/>
  <c r="I172" i="2"/>
  <c r="H172" i="2"/>
  <c r="O171" i="2"/>
  <c r="N171" i="2"/>
  <c r="I171" i="2"/>
  <c r="H171" i="2"/>
  <c r="O170" i="2"/>
  <c r="N170" i="2"/>
  <c r="I170" i="2"/>
  <c r="H170" i="2"/>
  <c r="O169" i="2"/>
  <c r="N169" i="2"/>
  <c r="I169" i="2"/>
  <c r="H169" i="2"/>
  <c r="O168" i="2"/>
  <c r="N168" i="2"/>
  <c r="I168" i="2"/>
  <c r="H168" i="2"/>
  <c r="O167" i="2"/>
  <c r="N167" i="2"/>
  <c r="I167" i="2"/>
  <c r="H167" i="2"/>
  <c r="O166" i="2"/>
  <c r="N166" i="2"/>
  <c r="I166" i="2"/>
  <c r="H166" i="2"/>
  <c r="O165" i="2"/>
  <c r="N165" i="2"/>
  <c r="I165" i="2"/>
  <c r="H165" i="2"/>
  <c r="O164" i="2"/>
  <c r="N164" i="2"/>
  <c r="I164" i="2"/>
  <c r="H164" i="2"/>
  <c r="O163" i="2"/>
  <c r="N163" i="2"/>
  <c r="I163" i="2"/>
  <c r="H163" i="2"/>
  <c r="O162" i="2"/>
  <c r="N162" i="2"/>
  <c r="I162" i="2"/>
  <c r="H162" i="2"/>
  <c r="O161" i="2"/>
  <c r="N161" i="2"/>
  <c r="I161" i="2"/>
  <c r="H161" i="2"/>
  <c r="O160" i="2"/>
  <c r="N160" i="2"/>
  <c r="I160" i="2"/>
  <c r="H160" i="2"/>
  <c r="O159" i="2"/>
  <c r="N159" i="2"/>
  <c r="I159" i="2"/>
  <c r="H159" i="2"/>
  <c r="O158" i="2"/>
  <c r="N158" i="2"/>
  <c r="I158" i="2"/>
  <c r="H158" i="2"/>
  <c r="O157" i="2"/>
  <c r="N157" i="2"/>
  <c r="I157" i="2"/>
  <c r="H157" i="2"/>
  <c r="O156" i="2"/>
  <c r="N156" i="2"/>
  <c r="I156" i="2"/>
  <c r="H156" i="2"/>
  <c r="O155" i="2"/>
  <c r="N155" i="2"/>
  <c r="I155" i="2"/>
  <c r="H155" i="2"/>
  <c r="O154" i="2"/>
  <c r="N154" i="2"/>
  <c r="I154" i="2"/>
  <c r="H154" i="2"/>
  <c r="O153" i="2"/>
  <c r="N153" i="2"/>
  <c r="I153" i="2"/>
  <c r="H153" i="2"/>
  <c r="O152" i="2"/>
  <c r="N152" i="2"/>
  <c r="I152" i="2"/>
  <c r="H152" i="2"/>
  <c r="O151" i="2"/>
  <c r="N151" i="2"/>
  <c r="I151" i="2"/>
  <c r="H151" i="2"/>
  <c r="O150" i="2"/>
  <c r="N150" i="2"/>
  <c r="I150" i="2"/>
  <c r="H150" i="2"/>
  <c r="O149" i="2"/>
  <c r="N149" i="2"/>
  <c r="I149" i="2"/>
  <c r="H149" i="2"/>
  <c r="O148" i="2"/>
  <c r="N148" i="2"/>
  <c r="I148" i="2"/>
  <c r="H148" i="2"/>
  <c r="O147" i="2"/>
  <c r="N147" i="2"/>
  <c r="I147" i="2"/>
  <c r="H147" i="2"/>
  <c r="O146" i="2"/>
  <c r="N146" i="2"/>
  <c r="I146" i="2"/>
  <c r="H146" i="2"/>
  <c r="O145" i="2"/>
  <c r="N145" i="2"/>
  <c r="I145" i="2"/>
  <c r="H145" i="2"/>
  <c r="O144" i="2"/>
  <c r="N144" i="2"/>
  <c r="I144" i="2"/>
  <c r="H144" i="2"/>
  <c r="O143" i="2"/>
  <c r="N143" i="2"/>
  <c r="I143" i="2"/>
  <c r="H143" i="2"/>
  <c r="O142" i="2"/>
  <c r="N142" i="2"/>
  <c r="I142" i="2"/>
  <c r="H142" i="2"/>
  <c r="O141" i="2"/>
  <c r="N141" i="2"/>
  <c r="I141" i="2"/>
  <c r="H141" i="2"/>
  <c r="O140" i="2"/>
  <c r="N140" i="2"/>
  <c r="I140" i="2"/>
  <c r="H140" i="2"/>
  <c r="O139" i="2"/>
  <c r="N139" i="2"/>
  <c r="I139" i="2"/>
  <c r="H139" i="2"/>
  <c r="O138" i="2"/>
  <c r="N138" i="2"/>
  <c r="I138" i="2"/>
  <c r="H138" i="2"/>
  <c r="O137" i="2"/>
  <c r="N137" i="2"/>
  <c r="I137" i="2"/>
  <c r="H137" i="2"/>
  <c r="O136" i="2"/>
  <c r="N136" i="2"/>
  <c r="I136" i="2"/>
  <c r="H136" i="2"/>
  <c r="O135" i="2"/>
  <c r="N135" i="2"/>
  <c r="I135" i="2"/>
  <c r="H135" i="2"/>
  <c r="O134" i="2"/>
  <c r="N134" i="2"/>
  <c r="I134" i="2"/>
  <c r="H134" i="2"/>
  <c r="O133" i="2"/>
  <c r="N133" i="2"/>
  <c r="I133" i="2"/>
  <c r="H133" i="2"/>
  <c r="O132" i="2"/>
  <c r="N132" i="2"/>
  <c r="I132" i="2"/>
  <c r="H132" i="2"/>
  <c r="O131" i="2"/>
  <c r="N131" i="2"/>
  <c r="I131" i="2"/>
  <c r="H131" i="2"/>
  <c r="O130" i="2"/>
  <c r="N130" i="2"/>
  <c r="I130" i="2"/>
  <c r="H130" i="2"/>
  <c r="O129" i="2"/>
  <c r="N129" i="2"/>
  <c r="I129" i="2"/>
  <c r="H129" i="2"/>
  <c r="O128" i="2"/>
  <c r="N128" i="2"/>
  <c r="I128" i="2"/>
  <c r="H128" i="2"/>
  <c r="O127" i="2"/>
  <c r="N127" i="2"/>
  <c r="I127" i="2"/>
  <c r="H127" i="2"/>
  <c r="O126" i="2"/>
  <c r="N126" i="2"/>
  <c r="I126" i="2"/>
  <c r="H126" i="2"/>
  <c r="O125" i="2"/>
  <c r="N125" i="2"/>
  <c r="I125" i="2"/>
  <c r="H125" i="2"/>
  <c r="O124" i="2"/>
  <c r="N124" i="2"/>
  <c r="I124" i="2"/>
  <c r="H124" i="2"/>
  <c r="O123" i="2"/>
  <c r="N123" i="2"/>
  <c r="I123" i="2"/>
  <c r="H123" i="2"/>
  <c r="O122" i="2"/>
  <c r="N122" i="2"/>
  <c r="I122" i="2"/>
  <c r="H122" i="2"/>
  <c r="O121" i="2"/>
  <c r="N121" i="2"/>
  <c r="I121" i="2"/>
  <c r="H121" i="2"/>
  <c r="O120" i="2"/>
  <c r="N120" i="2"/>
  <c r="I120" i="2"/>
  <c r="H120" i="2"/>
  <c r="O119" i="2"/>
  <c r="N119" i="2"/>
  <c r="I119" i="2"/>
  <c r="H119" i="2"/>
  <c r="O118" i="2"/>
  <c r="N118" i="2"/>
  <c r="I118" i="2"/>
  <c r="H118" i="2"/>
  <c r="O117" i="2"/>
  <c r="N117" i="2"/>
  <c r="I117" i="2"/>
  <c r="H117" i="2"/>
  <c r="O116" i="2"/>
  <c r="N116" i="2"/>
  <c r="I116" i="2"/>
  <c r="H116" i="2"/>
  <c r="O115" i="2"/>
  <c r="N115" i="2"/>
  <c r="I115" i="2"/>
  <c r="H115" i="2"/>
  <c r="O114" i="2"/>
  <c r="N114" i="2"/>
  <c r="I114" i="2"/>
  <c r="H114" i="2"/>
  <c r="O113" i="2"/>
  <c r="N113" i="2"/>
  <c r="I113" i="2"/>
  <c r="H113" i="2"/>
  <c r="O112" i="2"/>
  <c r="N112" i="2"/>
  <c r="I112" i="2"/>
  <c r="H112" i="2"/>
  <c r="O111" i="2"/>
  <c r="N111" i="2"/>
  <c r="I111" i="2"/>
  <c r="H111" i="2"/>
  <c r="O110" i="2"/>
  <c r="N110" i="2"/>
  <c r="I110" i="2"/>
  <c r="H110" i="2"/>
  <c r="O109" i="2"/>
  <c r="N109" i="2"/>
  <c r="I109" i="2"/>
  <c r="H109" i="2"/>
  <c r="O108" i="2"/>
  <c r="N108" i="2"/>
  <c r="I108" i="2"/>
  <c r="H108" i="2"/>
  <c r="O107" i="2"/>
  <c r="N107" i="2"/>
  <c r="I107" i="2"/>
  <c r="H107" i="2"/>
  <c r="O106" i="2"/>
  <c r="N106" i="2"/>
  <c r="I106" i="2"/>
  <c r="H106" i="2"/>
  <c r="O105" i="2"/>
  <c r="N105" i="2"/>
  <c r="I105" i="2"/>
  <c r="H105" i="2"/>
  <c r="O104" i="2"/>
  <c r="N104" i="2"/>
  <c r="I104" i="2"/>
  <c r="H104" i="2"/>
  <c r="O103" i="2"/>
  <c r="N103" i="2"/>
  <c r="I103" i="2"/>
  <c r="H103" i="2"/>
  <c r="O102" i="2"/>
  <c r="N102" i="2"/>
  <c r="I102" i="2"/>
  <c r="H102" i="2"/>
  <c r="O101" i="2"/>
  <c r="N101" i="2"/>
  <c r="I101" i="2"/>
  <c r="H101" i="2"/>
  <c r="O100" i="2"/>
  <c r="N100" i="2"/>
  <c r="I100" i="2"/>
  <c r="H100" i="2"/>
  <c r="O99" i="2"/>
  <c r="N99" i="2"/>
  <c r="I99" i="2"/>
  <c r="H99" i="2"/>
  <c r="O98" i="2"/>
  <c r="N98" i="2"/>
  <c r="I98" i="2"/>
  <c r="H98" i="2"/>
  <c r="O97" i="2"/>
  <c r="N97" i="2"/>
  <c r="I97" i="2"/>
  <c r="H97" i="2"/>
  <c r="O96" i="2"/>
  <c r="N96" i="2"/>
  <c r="I96" i="2"/>
  <c r="H96" i="2"/>
  <c r="O95" i="2"/>
  <c r="N95" i="2"/>
  <c r="I95" i="2"/>
  <c r="H95" i="2"/>
  <c r="O94" i="2"/>
  <c r="N94" i="2"/>
  <c r="I94" i="2"/>
  <c r="H94" i="2"/>
  <c r="O93" i="2"/>
  <c r="N93" i="2"/>
  <c r="I93" i="2"/>
  <c r="H93" i="2"/>
  <c r="O92" i="2"/>
  <c r="N92" i="2"/>
  <c r="I92" i="2"/>
  <c r="H92" i="2"/>
  <c r="O91" i="2"/>
  <c r="N91" i="2"/>
  <c r="I91" i="2"/>
  <c r="H91" i="2"/>
  <c r="O90" i="2"/>
  <c r="N90" i="2"/>
  <c r="I90" i="2"/>
  <c r="H90" i="2"/>
  <c r="O89" i="2"/>
  <c r="N89" i="2"/>
  <c r="I89" i="2"/>
  <c r="H89" i="2"/>
  <c r="O88" i="2"/>
  <c r="N88" i="2"/>
  <c r="I88" i="2"/>
  <c r="H88" i="2"/>
  <c r="O87" i="2"/>
  <c r="N87" i="2"/>
  <c r="I87" i="2"/>
  <c r="H87" i="2"/>
  <c r="O86" i="2"/>
  <c r="N86" i="2"/>
  <c r="I86" i="2"/>
  <c r="H86" i="2"/>
  <c r="O85" i="2"/>
  <c r="N85" i="2"/>
  <c r="I85" i="2"/>
  <c r="H85" i="2"/>
  <c r="O84" i="2"/>
  <c r="N84" i="2"/>
  <c r="I84" i="2"/>
  <c r="H84" i="2"/>
  <c r="O83" i="2"/>
  <c r="N83" i="2"/>
  <c r="I83" i="2"/>
  <c r="H83" i="2"/>
  <c r="O82" i="2"/>
  <c r="N82" i="2"/>
  <c r="I82" i="2"/>
  <c r="H82" i="2"/>
  <c r="O81" i="2"/>
  <c r="N81" i="2"/>
  <c r="I81" i="2"/>
  <c r="H81" i="2"/>
  <c r="O80" i="2"/>
  <c r="N80" i="2"/>
  <c r="I80" i="2"/>
  <c r="H80" i="2"/>
  <c r="O79" i="2"/>
  <c r="N79" i="2"/>
  <c r="I79" i="2"/>
  <c r="H79" i="2"/>
  <c r="O78" i="2"/>
  <c r="N78" i="2"/>
  <c r="I78" i="2"/>
  <c r="H78" i="2"/>
  <c r="O77" i="2"/>
  <c r="N77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O23" i="2"/>
  <c r="N23" i="2"/>
  <c r="I23" i="2"/>
  <c r="H23" i="2"/>
  <c r="O22" i="2"/>
  <c r="N22" i="2"/>
  <c r="I22" i="2"/>
  <c r="H22" i="2"/>
  <c r="O21" i="2"/>
  <c r="N21" i="2"/>
  <c r="I21" i="2"/>
  <c r="H21" i="2"/>
  <c r="O20" i="2"/>
  <c r="N20" i="2"/>
  <c r="I20" i="2"/>
  <c r="H20" i="2"/>
  <c r="O19" i="2"/>
  <c r="N19" i="2"/>
  <c r="I19" i="2"/>
  <c r="H19" i="2"/>
  <c r="O18" i="2"/>
  <c r="N18" i="2"/>
  <c r="I18" i="2"/>
  <c r="H18" i="2"/>
  <c r="O17" i="2"/>
  <c r="N17" i="2"/>
  <c r="I17" i="2"/>
  <c r="H17" i="2"/>
  <c r="O16" i="2"/>
  <c r="N16" i="2"/>
  <c r="I16" i="2"/>
  <c r="H16" i="2"/>
  <c r="O15" i="2"/>
  <c r="N15" i="2"/>
  <c r="I15" i="2"/>
  <c r="H15" i="2"/>
  <c r="O14" i="2"/>
  <c r="N14" i="2"/>
  <c r="I14" i="2"/>
  <c r="H14" i="2"/>
  <c r="O13" i="2"/>
  <c r="N13" i="2"/>
  <c r="I13" i="2"/>
  <c r="H13" i="2"/>
  <c r="O12" i="2"/>
  <c r="N12" i="2"/>
  <c r="I12" i="2"/>
  <c r="H12" i="2"/>
  <c r="O11" i="2"/>
  <c r="N11" i="2"/>
  <c r="I11" i="2"/>
  <c r="H11" i="2"/>
  <c r="O10" i="2"/>
  <c r="N10" i="2"/>
  <c r="I10" i="2"/>
  <c r="H10" i="2"/>
  <c r="O9" i="2"/>
  <c r="N9" i="2"/>
  <c r="I9" i="2"/>
  <c r="H9" i="2"/>
  <c r="O8" i="2"/>
  <c r="N8" i="2"/>
  <c r="I8" i="2"/>
  <c r="H8" i="2"/>
  <c r="O7" i="2"/>
  <c r="N7" i="2"/>
  <c r="I7" i="2"/>
  <c r="H7" i="2"/>
  <c r="O6" i="2"/>
  <c r="N6" i="2"/>
  <c r="I6" i="2"/>
  <c r="H6" i="2"/>
  <c r="O5" i="2"/>
  <c r="N5" i="2"/>
  <c r="I5" i="2"/>
  <c r="H5" i="2"/>
  <c r="O4" i="2"/>
  <c r="N4" i="2"/>
  <c r="I4" i="2"/>
  <c r="H4" i="2"/>
  <c r="O3" i="2"/>
  <c r="N3" i="2"/>
  <c r="I3" i="2"/>
  <c r="H3" i="2"/>
</calcChain>
</file>

<file path=xl/sharedStrings.xml><?xml version="1.0" encoding="utf-8"?>
<sst xmlns="http://schemas.openxmlformats.org/spreadsheetml/2006/main" count="3149" uniqueCount="1194">
  <si>
    <t>CD</t>
  </si>
  <si>
    <t>Incumbent</t>
  </si>
  <si>
    <t>Party</t>
  </si>
  <si>
    <t>Obama</t>
  </si>
  <si>
    <t>Romney</t>
  </si>
  <si>
    <t>McCain</t>
  </si>
  <si>
    <t>AK-AL</t>
  </si>
  <si>
    <t>Young, Don</t>
  </si>
  <si>
    <t>(R)</t>
  </si>
  <si>
    <t>AL-01</t>
  </si>
  <si>
    <t>Byrne, Bradley</t>
  </si>
  <si>
    <t>AL-02</t>
  </si>
  <si>
    <t>Roby, Martha</t>
  </si>
  <si>
    <t>AL-03</t>
  </si>
  <si>
    <t>Rogers, Mike D.</t>
  </si>
  <si>
    <t>AL-04</t>
  </si>
  <si>
    <t>Aderholt, Rob</t>
  </si>
  <si>
    <t>AL-05</t>
  </si>
  <si>
    <t>Brooks, Mo</t>
  </si>
  <si>
    <t>AL-06</t>
  </si>
  <si>
    <t>Palmer, Gary</t>
  </si>
  <si>
    <t>AL-07</t>
  </si>
  <si>
    <t>Sewell, Terri</t>
  </si>
  <si>
    <t>(D)</t>
  </si>
  <si>
    <t>AR-01</t>
  </si>
  <si>
    <t>Crawford, Rick</t>
  </si>
  <si>
    <t>AR-02</t>
  </si>
  <si>
    <t>Hill, French</t>
  </si>
  <si>
    <t>AR-03</t>
  </si>
  <si>
    <t>Womack, Steve</t>
  </si>
  <si>
    <t>AR-04</t>
  </si>
  <si>
    <t>Westerman, Bruce</t>
  </si>
  <si>
    <t>AZ-01</t>
  </si>
  <si>
    <t>Kirkpatrick, Ann</t>
  </si>
  <si>
    <t>AZ-02</t>
  </si>
  <si>
    <t>McSally, Martha</t>
  </si>
  <si>
    <t>AZ-03</t>
  </si>
  <si>
    <t>Grijalva, Raul</t>
  </si>
  <si>
    <t>AZ-04</t>
  </si>
  <si>
    <t>Gosar, Paul</t>
  </si>
  <si>
    <t>AZ-05</t>
  </si>
  <si>
    <t>Salmon, Matt</t>
  </si>
  <si>
    <t>AZ-06</t>
  </si>
  <si>
    <t>Schweikert, David</t>
  </si>
  <si>
    <t>AZ-07</t>
  </si>
  <si>
    <t>Gallego, Ruben</t>
  </si>
  <si>
    <t>AZ-08</t>
  </si>
  <si>
    <t>Franks, Trent</t>
  </si>
  <si>
    <t>AZ-09</t>
  </si>
  <si>
    <t>Sinema, Kyrsten</t>
  </si>
  <si>
    <t>CA-01</t>
  </si>
  <si>
    <t>LaMalfa, Doug</t>
  </si>
  <si>
    <t>CA-02</t>
  </si>
  <si>
    <t>Huffman, Jared</t>
  </si>
  <si>
    <t>CA-03</t>
  </si>
  <si>
    <t>Garamendi, John</t>
  </si>
  <si>
    <t>CA-04</t>
  </si>
  <si>
    <t>McClintock, Tom</t>
  </si>
  <si>
    <t>CA-05</t>
  </si>
  <si>
    <t>Thompson, Mike</t>
  </si>
  <si>
    <t>CA-06</t>
  </si>
  <si>
    <t>Matsui, Doris</t>
  </si>
  <si>
    <t>CA-07</t>
  </si>
  <si>
    <t>Bera, Ami</t>
  </si>
  <si>
    <t>CA-08</t>
  </si>
  <si>
    <t>Cook, Paul</t>
  </si>
  <si>
    <t>CA-09</t>
  </si>
  <si>
    <t>McNerney, Jerry</t>
  </si>
  <si>
    <t>CA-10</t>
  </si>
  <si>
    <t>Denham, Jeff</t>
  </si>
  <si>
    <t>CA-11</t>
  </si>
  <si>
    <t>DeSaulnier, Mark</t>
  </si>
  <si>
    <t>CA-12</t>
  </si>
  <si>
    <t>Pelosi, Nancy</t>
  </si>
  <si>
    <t>CA-13</t>
  </si>
  <si>
    <t>Lee, Barbara</t>
  </si>
  <si>
    <t>CA-14</t>
  </si>
  <si>
    <t>Speier, Jackie</t>
  </si>
  <si>
    <t>CA-15</t>
  </si>
  <si>
    <t>Swalwell, Eric</t>
  </si>
  <si>
    <t>CA-16</t>
  </si>
  <si>
    <t>Jim Costa</t>
  </si>
  <si>
    <t>CA-17</t>
  </si>
  <si>
    <t>Honda, Mike</t>
  </si>
  <si>
    <t>CA-18</t>
  </si>
  <si>
    <t>Eshoo, Anna</t>
  </si>
  <si>
    <t>CA-19</t>
  </si>
  <si>
    <t>Lofgren, Zoe</t>
  </si>
  <si>
    <t>CA-20</t>
  </si>
  <si>
    <t>Farr, Sam</t>
  </si>
  <si>
    <t>CA-21</t>
  </si>
  <si>
    <t>Valadao, David</t>
  </si>
  <si>
    <t>CA-22</t>
  </si>
  <si>
    <t>Nunes, Devin</t>
  </si>
  <si>
    <t>CA-23</t>
  </si>
  <si>
    <t>McCarthy, Kevin</t>
  </si>
  <si>
    <t>CA-24</t>
  </si>
  <si>
    <t>Capps, Lois</t>
  </si>
  <si>
    <t>CA-25</t>
  </si>
  <si>
    <t>Knight, Steve</t>
  </si>
  <si>
    <t>CA-26</t>
  </si>
  <si>
    <t>Brownley, Julia</t>
  </si>
  <si>
    <t>CA-27</t>
  </si>
  <si>
    <t>Chu, Judy</t>
  </si>
  <si>
    <t>CA-28</t>
  </si>
  <si>
    <t>Schiff, Adam</t>
  </si>
  <si>
    <t>CA-29</t>
  </si>
  <si>
    <t>Cardenas, Tony</t>
  </si>
  <si>
    <t>CA-30</t>
  </si>
  <si>
    <t>Sherman, Brad</t>
  </si>
  <si>
    <t>CA-31</t>
  </si>
  <si>
    <t>Aguilar, Pete</t>
  </si>
  <si>
    <t>CA-32</t>
  </si>
  <si>
    <t>Napolitano, Grace</t>
  </si>
  <si>
    <t>CA-33</t>
  </si>
  <si>
    <t>Lieu, Ted</t>
  </si>
  <si>
    <t>CA-34</t>
  </si>
  <si>
    <t>Becerra, Xavier</t>
  </si>
  <si>
    <t>CA-35</t>
  </si>
  <si>
    <t>Torres, Norma</t>
  </si>
  <si>
    <t>CA-36</t>
  </si>
  <si>
    <t>Ruiz, Raul</t>
  </si>
  <si>
    <t>CA-37</t>
  </si>
  <si>
    <t>Bass, Karen</t>
  </si>
  <si>
    <t>CA-38</t>
  </si>
  <si>
    <t>Sanchez, Linda</t>
  </si>
  <si>
    <t>CA-39</t>
  </si>
  <si>
    <t>Royce, Ed</t>
  </si>
  <si>
    <t>CA-40</t>
  </si>
  <si>
    <t>Roybal-Allard, Lucille</t>
  </si>
  <si>
    <t>CA-41</t>
  </si>
  <si>
    <t>Takano, Mark</t>
  </si>
  <si>
    <t>CA-42</t>
  </si>
  <si>
    <t>Calvert, Ken</t>
  </si>
  <si>
    <t>CA-43</t>
  </si>
  <si>
    <t>Waters, Maxine</t>
  </si>
  <si>
    <t>CA-44</t>
  </si>
  <si>
    <t>Hahn, Janice</t>
  </si>
  <si>
    <t>CA-45</t>
  </si>
  <si>
    <t>Walters, Mimi</t>
  </si>
  <si>
    <t>CA-46</t>
  </si>
  <si>
    <t>Sanchez, Loretta</t>
  </si>
  <si>
    <t>CA-47</t>
  </si>
  <si>
    <t>Lowenthal, Alan</t>
  </si>
  <si>
    <t>CA-48</t>
  </si>
  <si>
    <t>Rohrabacher, Dana</t>
  </si>
  <si>
    <t>CA-49</t>
  </si>
  <si>
    <t>Issa, Darrell</t>
  </si>
  <si>
    <t>CA-50</t>
  </si>
  <si>
    <t>Hunter, Duncan</t>
  </si>
  <si>
    <t>CA-51</t>
  </si>
  <si>
    <t>Vargas, Juan</t>
  </si>
  <si>
    <t>CA-52</t>
  </si>
  <si>
    <t>Peters, Scott</t>
  </si>
  <si>
    <t>CA-53</t>
  </si>
  <si>
    <t>Davis, Susan</t>
  </si>
  <si>
    <t>CO-01</t>
  </si>
  <si>
    <t>DeGette, Diana</t>
  </si>
  <si>
    <t>CO-02</t>
  </si>
  <si>
    <t>Polis, Jared</t>
  </si>
  <si>
    <t>CO-03</t>
  </si>
  <si>
    <t>Tipton, Scott</t>
  </si>
  <si>
    <t>CO-04</t>
  </si>
  <si>
    <t>Buck, Ken</t>
  </si>
  <si>
    <t>CO-05</t>
  </si>
  <si>
    <t>Lamborn, Doug</t>
  </si>
  <si>
    <t>CO-06</t>
  </si>
  <si>
    <t>Coffman, Mike</t>
  </si>
  <si>
    <t>CO-07</t>
  </si>
  <si>
    <t>Perlmutter, Ed</t>
  </si>
  <si>
    <t>CT-01</t>
  </si>
  <si>
    <t>Larson, John</t>
  </si>
  <si>
    <t>CT-02</t>
  </si>
  <si>
    <t>Courtney, Joe</t>
  </si>
  <si>
    <t>CT-03</t>
  </si>
  <si>
    <t>DeLauro, Rosa</t>
  </si>
  <si>
    <t>CT-04</t>
  </si>
  <si>
    <t>Himes, Jim</t>
  </si>
  <si>
    <t>CT-05</t>
  </si>
  <si>
    <t>Esty, Elizabeth</t>
  </si>
  <si>
    <t>DE-AL</t>
  </si>
  <si>
    <t>Carney, John</t>
  </si>
  <si>
    <t>FL-01</t>
  </si>
  <si>
    <t>Miller, Jeff</t>
  </si>
  <si>
    <t>FL-02</t>
  </si>
  <si>
    <t>Graham, Gwen</t>
  </si>
  <si>
    <t>FL-03</t>
  </si>
  <si>
    <t>Yoho, Ted</t>
  </si>
  <si>
    <t>FL-04</t>
  </si>
  <si>
    <t>Crenshaw, Ander</t>
  </si>
  <si>
    <t>FL-05</t>
  </si>
  <si>
    <t>Brown, Corrine</t>
  </si>
  <si>
    <t>FL-06</t>
  </si>
  <si>
    <t>DeSantis, Ron</t>
  </si>
  <si>
    <t>FL-07</t>
  </si>
  <si>
    <t>Mica, John</t>
  </si>
  <si>
    <t>FL-08</t>
  </si>
  <si>
    <t>Posey, Bill</t>
  </si>
  <si>
    <t>FL-09</t>
  </si>
  <si>
    <t>Grayson, Alan</t>
  </si>
  <si>
    <t>FL-10</t>
  </si>
  <si>
    <t>Webster, Dan</t>
  </si>
  <si>
    <t>FL-11</t>
  </si>
  <si>
    <t>Nugent, Rich</t>
  </si>
  <si>
    <t>FL-12</t>
  </si>
  <si>
    <t>Bilirakis, Gus</t>
  </si>
  <si>
    <t>FL-13</t>
  </si>
  <si>
    <t>Jolly, David</t>
  </si>
  <si>
    <t>FL-14</t>
  </si>
  <si>
    <t>Castor, Kathy</t>
  </si>
  <si>
    <t>FL-15</t>
  </si>
  <si>
    <t>Ross, Dennis</t>
  </si>
  <si>
    <t>FL-16</t>
  </si>
  <si>
    <t>Buchanan, Vern</t>
  </si>
  <si>
    <t>FL-17</t>
  </si>
  <si>
    <t>Rooney, Tom</t>
  </si>
  <si>
    <t>FL-18</t>
  </si>
  <si>
    <t>Murphy, Patrick</t>
  </si>
  <si>
    <t>FL-19</t>
  </si>
  <si>
    <t>Clawson, Curt</t>
  </si>
  <si>
    <t>FL-20</t>
  </si>
  <si>
    <t>Hastings, Alcee</t>
  </si>
  <si>
    <t>FL-21</t>
  </si>
  <si>
    <t>Deutch, Ted</t>
  </si>
  <si>
    <t>FL-22</t>
  </si>
  <si>
    <t>Frankel, Lois</t>
  </si>
  <si>
    <t>FL-23</t>
  </si>
  <si>
    <t>Wasserman Schultz, Debbie</t>
  </si>
  <si>
    <t>FL-24</t>
  </si>
  <si>
    <t>Wilson, Frederica</t>
  </si>
  <si>
    <t>FL-25</t>
  </si>
  <si>
    <t>Diaz-Balart, Mario</t>
  </si>
  <si>
    <t>FL-26</t>
  </si>
  <si>
    <t>Curbelo, Carlos</t>
  </si>
  <si>
    <t>FL-27</t>
  </si>
  <si>
    <t>Ros-Lehtinen, Ileana</t>
  </si>
  <si>
    <t>GA-01</t>
  </si>
  <si>
    <t>Carter, Buddy</t>
  </si>
  <si>
    <t>GA-02</t>
  </si>
  <si>
    <t>Bishop, Sanford</t>
  </si>
  <si>
    <t>GA-03</t>
  </si>
  <si>
    <t>Westmoreland, Lynn</t>
  </si>
  <si>
    <t>GA-04</t>
  </si>
  <si>
    <t>Johnson, Hank</t>
  </si>
  <si>
    <t>GA-05</t>
  </si>
  <si>
    <t>Lewis, John</t>
  </si>
  <si>
    <t>GA-06</t>
  </si>
  <si>
    <t>Price, Tom</t>
  </si>
  <si>
    <t>GA-07</t>
  </si>
  <si>
    <t>Woodall, Rob</t>
  </si>
  <si>
    <t>GA-08</t>
  </si>
  <si>
    <t>Scott, Austin</t>
  </si>
  <si>
    <t>GA-09</t>
  </si>
  <si>
    <t>Collins, Doug</t>
  </si>
  <si>
    <t>GA-10</t>
  </si>
  <si>
    <t>Hice, Jodi</t>
  </si>
  <si>
    <t>GA-11</t>
  </si>
  <si>
    <t>Loudermilk, Barry</t>
  </si>
  <si>
    <t>GA-12</t>
  </si>
  <si>
    <t>Allen, Rick</t>
  </si>
  <si>
    <t>GA-13</t>
  </si>
  <si>
    <t>Scott, David</t>
  </si>
  <si>
    <t>GA-14</t>
  </si>
  <si>
    <t>Graves, Tom</t>
  </si>
  <si>
    <t>HI-01</t>
  </si>
  <si>
    <t>Takai, Mark</t>
  </si>
  <si>
    <t>HI-02</t>
  </si>
  <si>
    <t>Gabbard, Tulsi</t>
  </si>
  <si>
    <t>IA-01</t>
  </si>
  <si>
    <t>Blum, Rod</t>
  </si>
  <si>
    <t>IA-02</t>
  </si>
  <si>
    <t>Loebsack, David</t>
  </si>
  <si>
    <t>IA-03</t>
  </si>
  <si>
    <t>Young, David</t>
  </si>
  <si>
    <t>IA-04</t>
  </si>
  <si>
    <t>King, Steve</t>
  </si>
  <si>
    <t>ID-01</t>
  </si>
  <si>
    <t>Labrador, Raul</t>
  </si>
  <si>
    <t>ID-02</t>
  </si>
  <si>
    <t>Simpson, Mike</t>
  </si>
  <si>
    <t>IL-01</t>
  </si>
  <si>
    <t>Rush, Bobby</t>
  </si>
  <si>
    <t>IL-02</t>
  </si>
  <si>
    <t>Kelly, Robin</t>
  </si>
  <si>
    <t>IL-03</t>
  </si>
  <si>
    <t>Lipinski, Dan</t>
  </si>
  <si>
    <t>IL-04</t>
  </si>
  <si>
    <t>Gutierrez, Luis</t>
  </si>
  <si>
    <t>IL-05</t>
  </si>
  <si>
    <t>Quigley, Mike</t>
  </si>
  <si>
    <t>IL-06</t>
  </si>
  <si>
    <t>Roskam, Peter</t>
  </si>
  <si>
    <t>IL-07</t>
  </si>
  <si>
    <t>Davis, Danny</t>
  </si>
  <si>
    <t>IL-08</t>
  </si>
  <si>
    <t>Duckworth, Tammy</t>
  </si>
  <si>
    <t>IL-09</t>
  </si>
  <si>
    <t>Schakowsky, Jan</t>
  </si>
  <si>
    <t>IL-10</t>
  </si>
  <si>
    <t>Dold, Bob</t>
  </si>
  <si>
    <t>IL-11</t>
  </si>
  <si>
    <t>Foster, Bill</t>
  </si>
  <si>
    <t>IL-12</t>
  </si>
  <si>
    <t>Bost, Mike</t>
  </si>
  <si>
    <t>IL-13</t>
  </si>
  <si>
    <t>Davis, Rodney</t>
  </si>
  <si>
    <t>IL-14</t>
  </si>
  <si>
    <t>Hultgren, Randy</t>
  </si>
  <si>
    <t>IL-15</t>
  </si>
  <si>
    <t>Shimkus, John</t>
  </si>
  <si>
    <t>IL-16</t>
  </si>
  <si>
    <t>Kinzinger, Adam</t>
  </si>
  <si>
    <t>IL-17</t>
  </si>
  <si>
    <t>Bustos, Cheri</t>
  </si>
  <si>
    <t>IL-18</t>
  </si>
  <si>
    <t>LaHood, Darin</t>
  </si>
  <si>
    <t>IN-01</t>
  </si>
  <si>
    <t>Visclosky, Pete</t>
  </si>
  <si>
    <t>IN-02</t>
  </si>
  <si>
    <t>Walorski, Jackie</t>
  </si>
  <si>
    <t>IN-03</t>
  </si>
  <si>
    <t>Stutzman, Marlin</t>
  </si>
  <si>
    <t>IN-04</t>
  </si>
  <si>
    <t>Rokita, Todd</t>
  </si>
  <si>
    <t>IN-05</t>
  </si>
  <si>
    <t>Brooks, Susan</t>
  </si>
  <si>
    <t>IN-06</t>
  </si>
  <si>
    <t>Messer, Luke</t>
  </si>
  <si>
    <t>IN-07</t>
  </si>
  <si>
    <t>Carson, Andre</t>
  </si>
  <si>
    <t>IN-08</t>
  </si>
  <si>
    <t>Bucshon, Larry</t>
  </si>
  <si>
    <t>IN-09</t>
  </si>
  <si>
    <t>Young, Todd</t>
  </si>
  <si>
    <t>KS-01</t>
  </si>
  <si>
    <t>Huelskamp, Tim</t>
  </si>
  <si>
    <t>KS-02</t>
  </si>
  <si>
    <t>Jenkins, Lynn</t>
  </si>
  <si>
    <t>KS-03</t>
  </si>
  <si>
    <t>Yoder, Kevin</t>
  </si>
  <si>
    <t>KS-04</t>
  </si>
  <si>
    <t>Pompeo, Mike</t>
  </si>
  <si>
    <t>KY-01</t>
  </si>
  <si>
    <t>Whitfield, Ed</t>
  </si>
  <si>
    <t>KY-02</t>
  </si>
  <si>
    <t>Guthrie, Brett</t>
  </si>
  <si>
    <t>KY-03</t>
  </si>
  <si>
    <t>Yarmuth, John</t>
  </si>
  <si>
    <t>KY-04</t>
  </si>
  <si>
    <t>Massie, Thomas</t>
  </si>
  <si>
    <t>KY-05</t>
  </si>
  <si>
    <t>Rogers, Hal</t>
  </si>
  <si>
    <t>KY-06</t>
  </si>
  <si>
    <t>Barr, Andy</t>
  </si>
  <si>
    <t>LA-01</t>
  </si>
  <si>
    <t>Scalise, Steve</t>
  </si>
  <si>
    <t>LA-02</t>
  </si>
  <si>
    <t>Richmond, Cedric</t>
  </si>
  <si>
    <t>LA-03</t>
  </si>
  <si>
    <t>Boustany, Charles</t>
  </si>
  <si>
    <t>LA-04</t>
  </si>
  <si>
    <t>Fleming, John</t>
  </si>
  <si>
    <t>LA-05</t>
  </si>
  <si>
    <t>Abraham, Ralph</t>
  </si>
  <si>
    <t>LA-06</t>
  </si>
  <si>
    <t>Graves, Garret</t>
  </si>
  <si>
    <t>MA-01</t>
  </si>
  <si>
    <t>Neal, Richard</t>
  </si>
  <si>
    <t>MA-02</t>
  </si>
  <si>
    <t>McGovern, Jim</t>
  </si>
  <si>
    <t>MA-03</t>
  </si>
  <si>
    <t>Tsongas, Niki</t>
  </si>
  <si>
    <t>MA-04</t>
  </si>
  <si>
    <t>Kennedy, Joe</t>
  </si>
  <si>
    <t>MA-05</t>
  </si>
  <si>
    <t>Clark, Katherine</t>
  </si>
  <si>
    <t>MA-06</t>
  </si>
  <si>
    <t>Moulton, Seth</t>
  </si>
  <si>
    <t>MA-07</t>
  </si>
  <si>
    <t>Capuano, Mike</t>
  </si>
  <si>
    <t>MA-08</t>
  </si>
  <si>
    <t>Lynch, Stephen</t>
  </si>
  <si>
    <t>MA-09</t>
  </si>
  <si>
    <t>Keating, Bill</t>
  </si>
  <si>
    <t>MD-01</t>
  </si>
  <si>
    <t>Harris, Andy</t>
  </si>
  <si>
    <t>MD-02</t>
  </si>
  <si>
    <t>Ruppersberger, Dutch</t>
  </si>
  <si>
    <t>MD-03</t>
  </si>
  <si>
    <t>Sarbanes, John</t>
  </si>
  <si>
    <t>MD-04</t>
  </si>
  <si>
    <t>Edwards, Donna</t>
  </si>
  <si>
    <t>MD-05</t>
  </si>
  <si>
    <t>Hoyer, Steny</t>
  </si>
  <si>
    <t>MD-06</t>
  </si>
  <si>
    <t>Delaney, John</t>
  </si>
  <si>
    <t>MD-07</t>
  </si>
  <si>
    <t>Cummings, Elijah</t>
  </si>
  <si>
    <t>MD-08</t>
  </si>
  <si>
    <t>Van Hollen, Chris</t>
  </si>
  <si>
    <t>ME-01</t>
  </si>
  <si>
    <t>Pingree, Chellie</t>
  </si>
  <si>
    <t>ME-02</t>
  </si>
  <si>
    <t>Poliquin, Bruce</t>
  </si>
  <si>
    <t>MI-01</t>
  </si>
  <si>
    <t>Benishek, Dan</t>
  </si>
  <si>
    <t>MI-02</t>
  </si>
  <si>
    <t>Huizenga, Bill</t>
  </si>
  <si>
    <t>MI-03</t>
  </si>
  <si>
    <t>Amash, Justin</t>
  </si>
  <si>
    <t>MI-04</t>
  </si>
  <si>
    <t>Moolenaar, John</t>
  </si>
  <si>
    <t>MI-05</t>
  </si>
  <si>
    <t>Kildee, Dan</t>
  </si>
  <si>
    <t>MI-06</t>
  </si>
  <si>
    <t>Upton, Fred</t>
  </si>
  <si>
    <t>MI-07</t>
  </si>
  <si>
    <t>Walberg, Tim</t>
  </si>
  <si>
    <t>MI-08</t>
  </si>
  <si>
    <t>Bishop, Mike</t>
  </si>
  <si>
    <t>MI-09</t>
  </si>
  <si>
    <t>Levin, Sander</t>
  </si>
  <si>
    <t>MI-10</t>
  </si>
  <si>
    <t>Miller, Candice</t>
  </si>
  <si>
    <t>MI-11</t>
  </si>
  <si>
    <t>Trott, Dave</t>
  </si>
  <si>
    <t>MI-12</t>
  </si>
  <si>
    <t>Dingell, Debbie</t>
  </si>
  <si>
    <t>MI-13</t>
  </si>
  <si>
    <t>Conyers, John</t>
  </si>
  <si>
    <t>MI-14</t>
  </si>
  <si>
    <t>Lawrence, Brenda</t>
  </si>
  <si>
    <t>MN-01</t>
  </si>
  <si>
    <t>Walz, Tim</t>
  </si>
  <si>
    <t>MN-02</t>
  </si>
  <si>
    <t>Kline, John</t>
  </si>
  <si>
    <t>MN-03</t>
  </si>
  <si>
    <t>Paulsen, Erik</t>
  </si>
  <si>
    <t>MN-04</t>
  </si>
  <si>
    <t>McCollum, Betty</t>
  </si>
  <si>
    <t>MN-05</t>
  </si>
  <si>
    <t>Ellison, Keith</t>
  </si>
  <si>
    <t>MN-06</t>
  </si>
  <si>
    <t>Emmer, Tom</t>
  </si>
  <si>
    <t>MN-07</t>
  </si>
  <si>
    <t>Peterson, Collin</t>
  </si>
  <si>
    <t>MN-08</t>
  </si>
  <si>
    <t>Nolan, Rick</t>
  </si>
  <si>
    <t>MO-01</t>
  </si>
  <si>
    <t>Clay, Lacy</t>
  </si>
  <si>
    <t>MO-02</t>
  </si>
  <si>
    <t>Wagner, Ann</t>
  </si>
  <si>
    <t>MO-03</t>
  </si>
  <si>
    <t>Luetkemeyer, Blaine</t>
  </si>
  <si>
    <t>MO-04</t>
  </si>
  <si>
    <t>Hartzler, Vicki</t>
  </si>
  <si>
    <t>MO-05</t>
  </si>
  <si>
    <t>Cleaver, Emanuel</t>
  </si>
  <si>
    <t>MO-06</t>
  </si>
  <si>
    <t>Graves, Sam</t>
  </si>
  <si>
    <t>MO-07</t>
  </si>
  <si>
    <t>Long, Billy</t>
  </si>
  <si>
    <t>MO-08</t>
  </si>
  <si>
    <t>Smith, Jason</t>
  </si>
  <si>
    <t>MS-01</t>
  </si>
  <si>
    <t>Kelly, Trent</t>
  </si>
  <si>
    <t>MS-02</t>
  </si>
  <si>
    <t>Thompson, Bennie</t>
  </si>
  <si>
    <t>MS-03</t>
  </si>
  <si>
    <t>Harper, Gregg</t>
  </si>
  <si>
    <t>MS-04</t>
  </si>
  <si>
    <t>Palazzo, Steven</t>
  </si>
  <si>
    <t>MT-AL</t>
  </si>
  <si>
    <t>Zinke, Ryan</t>
  </si>
  <si>
    <t>NC-01</t>
  </si>
  <si>
    <t>Butterfield, G.K.</t>
  </si>
  <si>
    <t>NC-02</t>
  </si>
  <si>
    <t>Ellmers, Renee</t>
  </si>
  <si>
    <t>NC-03</t>
  </si>
  <si>
    <t>Jones, Walter</t>
  </si>
  <si>
    <t>NC-04</t>
  </si>
  <si>
    <t>Price, David</t>
  </si>
  <si>
    <t>NC-05</t>
  </si>
  <si>
    <t>Foxx, Virginia</t>
  </si>
  <si>
    <t>NC-06</t>
  </si>
  <si>
    <t>Walker, Mark</t>
  </si>
  <si>
    <t>NC-07</t>
  </si>
  <si>
    <t>Rouzer, David</t>
  </si>
  <si>
    <t>NC-08</t>
  </si>
  <si>
    <t>Hudson, Richard</t>
  </si>
  <si>
    <t>NC-09</t>
  </si>
  <si>
    <t>Pittenger, Robert</t>
  </si>
  <si>
    <t>NC-10</t>
  </si>
  <si>
    <t>McHenry, Patrick</t>
  </si>
  <si>
    <t>NC-11</t>
  </si>
  <si>
    <t>Meadows, Mark</t>
  </si>
  <si>
    <t>NC-12</t>
  </si>
  <si>
    <t>Adams, Alma</t>
  </si>
  <si>
    <t>NC-13</t>
  </si>
  <si>
    <t>Holding, George</t>
  </si>
  <si>
    <t>ND-AL</t>
  </si>
  <si>
    <t>Cramer, Kevin</t>
  </si>
  <si>
    <t>NE-01</t>
  </si>
  <si>
    <t>Fortenberry, Jeff</t>
  </si>
  <si>
    <t>NE-02</t>
  </si>
  <si>
    <t>Ashford, Brad</t>
  </si>
  <si>
    <t>NE-03</t>
  </si>
  <si>
    <t>Smith, Adrian</t>
  </si>
  <si>
    <t>NH-01</t>
  </si>
  <si>
    <t>Guinta, Frank</t>
  </si>
  <si>
    <t>NH-02</t>
  </si>
  <si>
    <t>Kuster, Annie</t>
  </si>
  <si>
    <t>NJ-01</t>
  </si>
  <si>
    <t>Norcross, Donald</t>
  </si>
  <si>
    <t>NJ-02</t>
  </si>
  <si>
    <t>LoBiondo, Frank</t>
  </si>
  <si>
    <t>NJ-03</t>
  </si>
  <si>
    <t>MacArthur, Tom</t>
  </si>
  <si>
    <t>NJ-04</t>
  </si>
  <si>
    <t>Smith, Chris</t>
  </si>
  <si>
    <t>NJ-05</t>
  </si>
  <si>
    <t>Garrett, Scott</t>
  </si>
  <si>
    <t>NJ-06</t>
  </si>
  <si>
    <t>Pallone, Frank</t>
  </si>
  <si>
    <t>NJ-07</t>
  </si>
  <si>
    <t>Lance, Leonard</t>
  </si>
  <si>
    <t>NJ-08</t>
  </si>
  <si>
    <t>Sires, Albio</t>
  </si>
  <si>
    <t>NJ-09</t>
  </si>
  <si>
    <t>Pascrell, Bill</t>
  </si>
  <si>
    <t>NJ-10</t>
  </si>
  <si>
    <t>Payne, Donald</t>
  </si>
  <si>
    <t>NJ-11</t>
  </si>
  <si>
    <t>Frelinghuysen, Rodney</t>
  </si>
  <si>
    <t>NJ-12</t>
  </si>
  <si>
    <t>Watson Coleman, Bonnie</t>
  </si>
  <si>
    <t>NM-01</t>
  </si>
  <si>
    <t>Lujan Grisham, Michelle</t>
  </si>
  <si>
    <t>NM-02</t>
  </si>
  <si>
    <t>Pearce, Steve</t>
  </si>
  <si>
    <t>NM-03</t>
  </si>
  <si>
    <t>Lujan, Ben</t>
  </si>
  <si>
    <t>NV-01</t>
  </si>
  <si>
    <t>Titus, Dina</t>
  </si>
  <si>
    <t>NV-02</t>
  </si>
  <si>
    <t>Amodei, Mark</t>
  </si>
  <si>
    <t>NV-03</t>
  </si>
  <si>
    <t>Heck, Joe</t>
  </si>
  <si>
    <t>NV-04</t>
  </si>
  <si>
    <t>Hardy, Cresent</t>
  </si>
  <si>
    <t>NY-01</t>
  </si>
  <si>
    <t>Zeldin, Lee</t>
  </si>
  <si>
    <t>NY-02</t>
  </si>
  <si>
    <t>King, Peter</t>
  </si>
  <si>
    <t>NY-03</t>
  </si>
  <si>
    <t>Israel, Steve</t>
  </si>
  <si>
    <t>NY-04</t>
  </si>
  <si>
    <t>Rice, Kathleen</t>
  </si>
  <si>
    <t>NY-05</t>
  </si>
  <si>
    <t>Meeks, Gregory</t>
  </si>
  <si>
    <t>NY-06</t>
  </si>
  <si>
    <t>Meng, Grace</t>
  </si>
  <si>
    <t>NY-07</t>
  </si>
  <si>
    <t>Velazquez, Nydia</t>
  </si>
  <si>
    <t>NY-08</t>
  </si>
  <si>
    <t>Jeffries, Hakeem</t>
  </si>
  <si>
    <t>NY-09</t>
  </si>
  <si>
    <t>Clarke, Yvette</t>
  </si>
  <si>
    <t>NY-10</t>
  </si>
  <si>
    <t>Nadler, Jerrold</t>
  </si>
  <si>
    <t>NY-11</t>
  </si>
  <si>
    <t>Donovan, Dan</t>
  </si>
  <si>
    <t>NY-12</t>
  </si>
  <si>
    <t>Maloney, Carolyn</t>
  </si>
  <si>
    <t>NY-13</t>
  </si>
  <si>
    <t>Rangel, Charlie</t>
  </si>
  <si>
    <t>NY-14</t>
  </si>
  <si>
    <t>Crowley, Joe</t>
  </si>
  <si>
    <t>NY-15</t>
  </si>
  <si>
    <t>Serrano, Jose</t>
  </si>
  <si>
    <t>NY-16</t>
  </si>
  <si>
    <t>Engel, Eliot</t>
  </si>
  <si>
    <t>NY-17</t>
  </si>
  <si>
    <t>Lowey, Nita</t>
  </si>
  <si>
    <t>NY-18</t>
  </si>
  <si>
    <t>Maloney, Sean</t>
  </si>
  <si>
    <t>NY-19</t>
  </si>
  <si>
    <t>Gibson, Chris</t>
  </si>
  <si>
    <t>NY-20</t>
  </si>
  <si>
    <t>Tonko, Paul</t>
  </si>
  <si>
    <t>NY-21</t>
  </si>
  <si>
    <t>Stefanik, Elise</t>
  </si>
  <si>
    <t>NY-22</t>
  </si>
  <si>
    <t>Hanna, Richard</t>
  </si>
  <si>
    <t>NY-23</t>
  </si>
  <si>
    <t>Reed, Tom</t>
  </si>
  <si>
    <t>NY-24</t>
  </si>
  <si>
    <t>Katko, John</t>
  </si>
  <si>
    <t>NY-25</t>
  </si>
  <si>
    <t>Slaughter, Louise</t>
  </si>
  <si>
    <t>NY-26</t>
  </si>
  <si>
    <t>Higgins, Brian</t>
  </si>
  <si>
    <t>NY-27</t>
  </si>
  <si>
    <t>Collins, Chris</t>
  </si>
  <si>
    <t>OH-01</t>
  </si>
  <si>
    <t>Chabot, Steve</t>
  </si>
  <si>
    <t>OH-02</t>
  </si>
  <si>
    <t>Wenstrup, Brad</t>
  </si>
  <si>
    <t>OH-03</t>
  </si>
  <si>
    <t>Beatty, Joyce</t>
  </si>
  <si>
    <t>OH-04</t>
  </si>
  <si>
    <t>Jordan, Jim</t>
  </si>
  <si>
    <t>OH-05</t>
  </si>
  <si>
    <t>Latta, Bob</t>
  </si>
  <si>
    <t>OH-06</t>
  </si>
  <si>
    <t>Johnson, Bill</t>
  </si>
  <si>
    <t>OH-07</t>
  </si>
  <si>
    <t>Gibbs, Bob</t>
  </si>
  <si>
    <t>OH-08</t>
  </si>
  <si>
    <t>OH-09</t>
  </si>
  <si>
    <t>Kaptur, Marcy</t>
  </si>
  <si>
    <t>OH-10</t>
  </si>
  <si>
    <t>Turner, Michael</t>
  </si>
  <si>
    <t>OH-11</t>
  </si>
  <si>
    <t>Fudge, Marcia</t>
  </si>
  <si>
    <t>OH-12</t>
  </si>
  <si>
    <t>Tiberi, Patrick</t>
  </si>
  <si>
    <t>OH-13</t>
  </si>
  <si>
    <t>Ryan, Tim</t>
  </si>
  <si>
    <t>OH-14</t>
  </si>
  <si>
    <t>Joyce, David</t>
  </si>
  <si>
    <t>OH-15</t>
  </si>
  <si>
    <t>Stivers, Steve</t>
  </si>
  <si>
    <t>OH-16</t>
  </si>
  <si>
    <t>Renacci, Jim</t>
  </si>
  <si>
    <t>OK-01</t>
  </si>
  <si>
    <t>Bridenstine, Jim</t>
  </si>
  <si>
    <t>OK-02</t>
  </si>
  <si>
    <t>Mullin, Markwayne</t>
  </si>
  <si>
    <t>OK-03</t>
  </si>
  <si>
    <t>Lucas, Frank</t>
  </si>
  <si>
    <t>OK-04</t>
  </si>
  <si>
    <t>Cole, Tom</t>
  </si>
  <si>
    <t>OK-05</t>
  </si>
  <si>
    <t>Russell, Steve</t>
  </si>
  <si>
    <t>OR-01</t>
  </si>
  <si>
    <t>Bonamici, Suzanne</t>
  </si>
  <si>
    <t>OR-02</t>
  </si>
  <si>
    <t>Walden, Greg</t>
  </si>
  <si>
    <t>OR-03</t>
  </si>
  <si>
    <t>Blumenauer, Earl</t>
  </si>
  <si>
    <t>OR-04</t>
  </si>
  <si>
    <t>DeFazio, Peter</t>
  </si>
  <si>
    <t>OR-05</t>
  </si>
  <si>
    <t>Schrader, Kurt</t>
  </si>
  <si>
    <t>PA-01</t>
  </si>
  <si>
    <t>Brady, Bob</t>
  </si>
  <si>
    <t>PA-02</t>
  </si>
  <si>
    <t>Fattah, Chaka</t>
  </si>
  <si>
    <t>PA-03</t>
  </si>
  <si>
    <t>Kelly, Mike</t>
  </si>
  <si>
    <t>PA-04</t>
  </si>
  <si>
    <t>Perry, Scott</t>
  </si>
  <si>
    <t>PA-05</t>
  </si>
  <si>
    <t>Thompson, Glenn</t>
  </si>
  <si>
    <t>PA-06</t>
  </si>
  <si>
    <t>Costello, Ryan</t>
  </si>
  <si>
    <t>PA-07</t>
  </si>
  <si>
    <t>Meehan, Pat</t>
  </si>
  <si>
    <t>PA-08</t>
  </si>
  <si>
    <t>Fitzpatrick, Michael</t>
  </si>
  <si>
    <t>PA-09</t>
  </si>
  <si>
    <t>Schuster, Bill</t>
  </si>
  <si>
    <t>PA-10</t>
  </si>
  <si>
    <t>Marino, Tom</t>
  </si>
  <si>
    <t>PA-11</t>
  </si>
  <si>
    <t>Barletta, Lou</t>
  </si>
  <si>
    <t>PA-12</t>
  </si>
  <si>
    <t>Rothfus, Keith</t>
  </si>
  <si>
    <t>PA-13</t>
  </si>
  <si>
    <t>Boyle, Brendan</t>
  </si>
  <si>
    <t>PA-14</t>
  </si>
  <si>
    <t>Doyle, Michael</t>
  </si>
  <si>
    <t>PA-15</t>
  </si>
  <si>
    <t>Dent, Charlie</t>
  </si>
  <si>
    <t>PA-16</t>
  </si>
  <si>
    <t>Pitts, Joe</t>
  </si>
  <si>
    <t>PA-17</t>
  </si>
  <si>
    <t>Cartwright, Matt</t>
  </si>
  <si>
    <t>PA-18</t>
  </si>
  <si>
    <t>Murphy, Tim</t>
  </si>
  <si>
    <t>RI-01</t>
  </si>
  <si>
    <t>Cicilline, David</t>
  </si>
  <si>
    <t>RI-02</t>
  </si>
  <si>
    <t>Langevin, Jim</t>
  </si>
  <si>
    <t>SC-01</t>
  </si>
  <si>
    <t>Sanford, Mark</t>
  </si>
  <si>
    <t>SC-02</t>
  </si>
  <si>
    <t>Wilson, Joe</t>
  </si>
  <si>
    <t>SC-03</t>
  </si>
  <si>
    <t>Duncan, Jeff</t>
  </si>
  <si>
    <t>SC-04</t>
  </si>
  <si>
    <t>Gowdy, Trey</t>
  </si>
  <si>
    <t>SC-05</t>
  </si>
  <si>
    <t>Mulvaney, Mick</t>
  </si>
  <si>
    <t>SC-06</t>
  </si>
  <si>
    <t>Clyburn, Jim</t>
  </si>
  <si>
    <t>SC-07</t>
  </si>
  <si>
    <t>Rice, Tom</t>
  </si>
  <si>
    <t>SD-AL</t>
  </si>
  <si>
    <t>Noem, Kristi</t>
  </si>
  <si>
    <t>TN-01</t>
  </si>
  <si>
    <t>Roe, Phil</t>
  </si>
  <si>
    <t>TN-02</t>
  </si>
  <si>
    <t>Duncan, John</t>
  </si>
  <si>
    <t>TN-03</t>
  </si>
  <si>
    <t>Fleischmann, Chuck</t>
  </si>
  <si>
    <t>TN-04</t>
  </si>
  <si>
    <t>DesJarlais, Scott</t>
  </si>
  <si>
    <t>TN-05</t>
  </si>
  <si>
    <t>Cooper, Jim</t>
  </si>
  <si>
    <t>TN-06</t>
  </si>
  <si>
    <t>Black, Diane</t>
  </si>
  <si>
    <t>TN-07</t>
  </si>
  <si>
    <t>Blackburn, Marsha</t>
  </si>
  <si>
    <t>TN-08</t>
  </si>
  <si>
    <t>Fincher, Steve</t>
  </si>
  <si>
    <t>TN-09</t>
  </si>
  <si>
    <t>Cohen, Steve</t>
  </si>
  <si>
    <t>TX-01</t>
  </si>
  <si>
    <t>Gohmert, Louie</t>
  </si>
  <si>
    <t>TX-02</t>
  </si>
  <si>
    <t>Poe, Ted</t>
  </si>
  <si>
    <t>TX-03</t>
  </si>
  <si>
    <t>Johnson, Sam</t>
  </si>
  <si>
    <t>TX-04</t>
  </si>
  <si>
    <t>Ratcliffe, John</t>
  </si>
  <si>
    <t>TX-05</t>
  </si>
  <si>
    <t>Hensarling, Jeb</t>
  </si>
  <si>
    <t>TX-06</t>
  </si>
  <si>
    <t>Barton, Joe</t>
  </si>
  <si>
    <t>TX-07</t>
  </si>
  <si>
    <t>Culberson, John</t>
  </si>
  <si>
    <t>TX-08</t>
  </si>
  <si>
    <t>Brady, Kevin</t>
  </si>
  <si>
    <t>TX-09</t>
  </si>
  <si>
    <t>Green, Al</t>
  </si>
  <si>
    <t>TX-10</t>
  </si>
  <si>
    <t>McCaul, Michael</t>
  </si>
  <si>
    <t>TX-11</t>
  </si>
  <si>
    <t>Conaway, Michael</t>
  </si>
  <si>
    <t>TX-12</t>
  </si>
  <si>
    <t>Granger, Kay</t>
  </si>
  <si>
    <t>TX-13</t>
  </si>
  <si>
    <t>Thornberry, Mac</t>
  </si>
  <si>
    <t>TX-14</t>
  </si>
  <si>
    <t>Weber, Randy</t>
  </si>
  <si>
    <t>TX-15</t>
  </si>
  <si>
    <t>Hinojosa, Ruben</t>
  </si>
  <si>
    <t>TX-16</t>
  </si>
  <si>
    <t>O'Rourke, Beto</t>
  </si>
  <si>
    <t>TX-17</t>
  </si>
  <si>
    <t>Flores, Bill</t>
  </si>
  <si>
    <t>TX-18</t>
  </si>
  <si>
    <t>Jackson-Lee, Sheila</t>
  </si>
  <si>
    <t>TX-19</t>
  </si>
  <si>
    <t>Neugebauer, Randy</t>
  </si>
  <si>
    <t>TX-20</t>
  </si>
  <si>
    <t>Castro, Joaquin</t>
  </si>
  <si>
    <t>TX-21</t>
  </si>
  <si>
    <t>Smith, Lamar</t>
  </si>
  <si>
    <t>TX-22</t>
  </si>
  <si>
    <t>Olson, Pete</t>
  </si>
  <si>
    <t>TX-23</t>
  </si>
  <si>
    <t>Hurd, Will</t>
  </si>
  <si>
    <t>TX-24</t>
  </si>
  <si>
    <t>Marchant, Kenny</t>
  </si>
  <si>
    <t>TX-25</t>
  </si>
  <si>
    <t>Williams, Roger</t>
  </si>
  <si>
    <t>TX-26</t>
  </si>
  <si>
    <t>Burgess, Michael</t>
  </si>
  <si>
    <t>TX-27</t>
  </si>
  <si>
    <t>Farenthold, Blake</t>
  </si>
  <si>
    <t>TX-28</t>
  </si>
  <si>
    <t>Cuellar, Henry</t>
  </si>
  <si>
    <t>TX-29</t>
  </si>
  <si>
    <t>Green, Gene</t>
  </si>
  <si>
    <t>TX-30</t>
  </si>
  <si>
    <t>Johnson, E.B.</t>
  </si>
  <si>
    <t>TX-31</t>
  </si>
  <si>
    <t>Carter, John</t>
  </si>
  <si>
    <t>TX-32</t>
  </si>
  <si>
    <t>Sessions, Pete</t>
  </si>
  <si>
    <t>TX-33</t>
  </si>
  <si>
    <t>Veasey, Mark</t>
  </si>
  <si>
    <t>TX-34</t>
  </si>
  <si>
    <t>Vela, Filemon</t>
  </si>
  <si>
    <t>TX-35</t>
  </si>
  <si>
    <t>Doggett, Lloyd</t>
  </si>
  <si>
    <t>TX-36</t>
  </si>
  <si>
    <t>Babin, Brian</t>
  </si>
  <si>
    <t>UT-01</t>
  </si>
  <si>
    <t>Bishop, Rob</t>
  </si>
  <si>
    <t>UT-02</t>
  </si>
  <si>
    <t>Stewart, Chris</t>
  </si>
  <si>
    <t>UT-03</t>
  </si>
  <si>
    <t>Chaffetz, Jason</t>
  </si>
  <si>
    <t>UT-04</t>
  </si>
  <si>
    <t>Love, Mia</t>
  </si>
  <si>
    <t>VA-01</t>
  </si>
  <si>
    <t>Wittman, Rob</t>
  </si>
  <si>
    <t>VA-02</t>
  </si>
  <si>
    <t>Rigell, Scott</t>
  </si>
  <si>
    <t>VA-03</t>
  </si>
  <si>
    <t>Scott, Bobby</t>
  </si>
  <si>
    <t>VA-04</t>
  </si>
  <si>
    <t>Forbes, Randy</t>
  </si>
  <si>
    <t>VA-05</t>
  </si>
  <si>
    <t>Hurt, Robert</t>
  </si>
  <si>
    <t>VA-06</t>
  </si>
  <si>
    <t>Goodlatte, Bob</t>
  </si>
  <si>
    <t>VA-07</t>
  </si>
  <si>
    <t>Brat, Dave</t>
  </si>
  <si>
    <t>VA-08</t>
  </si>
  <si>
    <t>Beyer, Don</t>
  </si>
  <si>
    <t>VA-09</t>
  </si>
  <si>
    <t>Griffith, Morgan</t>
  </si>
  <si>
    <t>VA-10</t>
  </si>
  <si>
    <t>Comstock, Barbara</t>
  </si>
  <si>
    <t>VA-11</t>
  </si>
  <si>
    <t>Connolly, Gerry</t>
  </si>
  <si>
    <t>VT-AL</t>
  </si>
  <si>
    <t>Welch, Peter</t>
  </si>
  <si>
    <t>WA-01</t>
  </si>
  <si>
    <t>DelBene, Suzan</t>
  </si>
  <si>
    <t>WA-02</t>
  </si>
  <si>
    <t>Larsen, Rick</t>
  </si>
  <si>
    <t>WA-03</t>
  </si>
  <si>
    <t>Herrera Beutler, Jaime</t>
  </si>
  <si>
    <t>WA-04</t>
  </si>
  <si>
    <t>Newhouse, Dan</t>
  </si>
  <si>
    <t>WA-05</t>
  </si>
  <si>
    <t>McMorris Rodgers, Cathy</t>
  </si>
  <si>
    <t>WA-06</t>
  </si>
  <si>
    <t>Kilmer, Derek</t>
  </si>
  <si>
    <t>WA-07</t>
  </si>
  <si>
    <t>McDermott, Jim</t>
  </si>
  <si>
    <t>WA-08</t>
  </si>
  <si>
    <t>Reichert, David</t>
  </si>
  <si>
    <t>WA-09</t>
  </si>
  <si>
    <t>Smith, Adam</t>
  </si>
  <si>
    <t>WA-10</t>
  </si>
  <si>
    <t>Heck, Denny</t>
  </si>
  <si>
    <t>WI-01</t>
  </si>
  <si>
    <t>Ryan, Paul</t>
  </si>
  <si>
    <t>WI-02</t>
  </si>
  <si>
    <t>Pocan, Mark</t>
  </si>
  <si>
    <t>WI-03</t>
  </si>
  <si>
    <t>Kind, Ron</t>
  </si>
  <si>
    <t>WI-04</t>
  </si>
  <si>
    <t>Moore, Gwen</t>
  </si>
  <si>
    <t>WI-05</t>
  </si>
  <si>
    <t>Sensenbrenner, Jim</t>
  </si>
  <si>
    <t>WI-06</t>
  </si>
  <si>
    <t>Grothman, Glenn</t>
  </si>
  <si>
    <t>WI-07</t>
  </si>
  <si>
    <t>Duffy, Sean</t>
  </si>
  <si>
    <t>WI-08</t>
  </si>
  <si>
    <t>Ribble, Reid</t>
  </si>
  <si>
    <t>WV-01</t>
  </si>
  <si>
    <t>McKinley, David</t>
  </si>
  <si>
    <t>WV-02</t>
  </si>
  <si>
    <t>Mooney, Alex</t>
  </si>
  <si>
    <t>WV-03</t>
  </si>
  <si>
    <t>Jenkins, Evan</t>
  </si>
  <si>
    <t>WY-AL</t>
  </si>
  <si>
    <t>Lummis, Cynthia</t>
  </si>
  <si>
    <t>Total</t>
  </si>
  <si>
    <t>Obama%</t>
  </si>
  <si>
    <t>Romney%</t>
  </si>
  <si>
    <t>McCain%</t>
  </si>
  <si>
    <t>Obama 2012</t>
  </si>
  <si>
    <t>Romney 2012</t>
  </si>
  <si>
    <t>Obama 2008</t>
  </si>
  <si>
    <t>McCain 2008</t>
  </si>
  <si>
    <t>State</t>
  </si>
  <si>
    <t>Calculations</t>
  </si>
  <si>
    <t>AK</t>
  </si>
  <si>
    <t>At-large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</si>
  <si>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</si>
  <si>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</si>
  <si>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</si>
  <si>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</si>
  <si>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</si>
  <si>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</si>
  <si>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</si>
  <si>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</si>
  <si>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</si>
  <si>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</si>
  <si>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</si>
  <si>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</si>
  <si>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</si>
  <si>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</si>
  <si>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</si>
  <si>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</si>
  <si>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</si>
  <si>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</si>
  <si>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</si>
  <si>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</si>
  <si>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</si>
  <si>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</si>
  <si>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</si>
  <si>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</si>
  <si>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</si>
  <si>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</si>
  <si>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</si>
  <si>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</si>
  <si>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</si>
  <si>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</si>
  <si>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</si>
  <si>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</si>
  <si>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</si>
  <si>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</si>
  <si>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</si>
  <si>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</si>
  <si>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</si>
  <si>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</si>
  <si>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</si>
  <si>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</si>
  <si>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</si>
  <si>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</si>
  <si>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</si>
  <si>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</si>
  <si>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</si>
  <si>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</si>
  <si>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</si>
  <si>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</si>
  <si>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</si>
  <si>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Jurisdiction</t>
  </si>
  <si>
    <t>Official Source</t>
  </si>
  <si>
    <t>Link</t>
  </si>
  <si>
    <t>Statewide</t>
  </si>
  <si>
    <t>--</t>
  </si>
  <si>
    <t>In progress</t>
  </si>
  <si>
    <t>http://www.dailykos.com/i/user/303419/2012_Election_Results_for_Pres-by-CD_-_AR.zip</t>
  </si>
  <si>
    <t>http://www.dailykos.com/i/user/303419/2012_Election_Results_for_Pres-by-CD_-_AZ.zip</t>
  </si>
  <si>
    <t>Will be uploaded (1/18)</t>
  </si>
  <si>
    <t>http://www.dailykos.com/i/user/303419/2012_Election_Results_for_Pres-by-CD_-_CO.zip</t>
  </si>
  <si>
    <t>http://www.dailykos.com/i/user/303419/2012_Election_Results_for_Pres-by-CD_-_FL.zip</t>
  </si>
  <si>
    <t>Alachua</t>
  </si>
  <si>
    <t>Broward</t>
  </si>
  <si>
    <t>Clay</t>
  </si>
  <si>
    <t>Collier</t>
  </si>
  <si>
    <t>Duval</t>
  </si>
  <si>
    <t>Hendry</t>
  </si>
  <si>
    <t>Hillsborough</t>
  </si>
  <si>
    <t>Holmes</t>
  </si>
  <si>
    <t>Lake</t>
  </si>
  <si>
    <t>Lee</t>
  </si>
  <si>
    <t>Madison</t>
  </si>
  <si>
    <t>Manatee</t>
  </si>
  <si>
    <t>Marion</t>
  </si>
  <si>
    <t>Miami-Dade</t>
  </si>
  <si>
    <t>Orange</t>
  </si>
  <si>
    <t>Palm Beach</t>
  </si>
  <si>
    <t>Pinellas</t>
  </si>
  <si>
    <t>Polk</t>
  </si>
  <si>
    <t>Putnam</t>
  </si>
  <si>
    <t>Seminole</t>
  </si>
  <si>
    <t>Volusia</t>
  </si>
  <si>
    <t>http://www.dailykos.com/i/user/303419/2012_Election_Results_for_Pres-by-CD_-_GA.zip</t>
  </si>
  <si>
    <t>http://www.dailykos.com/i/user/303419/2012_Election_Results_by_Precinct_-_HI_Statewide.txt</t>
  </si>
  <si>
    <t>http://www.dailykos.com/i/user/303419/2012_Election_Results_by_County_-_IA_Statewide.xls</t>
  </si>
  <si>
    <t>http://www.dailykos.com/i/user/303419/2012_Election_Results_by_Precinct_-_ID_Statewide.xls</t>
  </si>
  <si>
    <t>Bond</t>
  </si>
  <si>
    <t>Bond Co. Clerk</t>
  </si>
  <si>
    <t>Champaign</t>
  </si>
  <si>
    <t>Champaign Co. Clerk</t>
  </si>
  <si>
    <t>Cook</t>
  </si>
  <si>
    <t>Cook Co. Clerk</t>
  </si>
  <si>
    <t>DeKalb</t>
  </si>
  <si>
    <t>DeKalb Co. Clerk</t>
  </si>
  <si>
    <t>DuPage</t>
  </si>
  <si>
    <t>DuPage Co. Election Commission</t>
  </si>
  <si>
    <t>Ford</t>
  </si>
  <si>
    <t>Ford Co. Clerk</t>
  </si>
  <si>
    <t>Kane</t>
  </si>
  <si>
    <t>Kane Co. Clerk</t>
  </si>
  <si>
    <t>Kendall</t>
  </si>
  <si>
    <t>Kendall Co. Clerk</t>
  </si>
  <si>
    <t>Lake Co. Clerk</t>
  </si>
  <si>
    <t>Madison Co. Clerk</t>
  </si>
  <si>
    <t>McHenry</t>
  </si>
  <si>
    <t>McHenry Co. Clerk</t>
  </si>
  <si>
    <t>McLean</t>
  </si>
  <si>
    <t>McLean Co. Clerk</t>
  </si>
  <si>
    <t>Peoria</t>
  </si>
  <si>
    <t>Peoria Co. Clerk</t>
  </si>
  <si>
    <t>Sangamon</t>
  </si>
  <si>
    <t>Sangamon Co. Clerk</t>
  </si>
  <si>
    <t>Stark</t>
  </si>
  <si>
    <t>Stark Co. Clerk/Recorder</t>
  </si>
  <si>
    <t>Tazewell</t>
  </si>
  <si>
    <t>Tazewell Co. Clerk</t>
  </si>
  <si>
    <t>Will</t>
  </si>
  <si>
    <t>Will Co. Clerk</t>
  </si>
  <si>
    <t>Winnebago</t>
  </si>
  <si>
    <t>Winnebago Co. Clerk</t>
  </si>
  <si>
    <t>City of Aurora</t>
  </si>
  <si>
    <t>Aurora Election Commission</t>
  </si>
  <si>
    <t>City of Bloomington</t>
  </si>
  <si>
    <t>Bloomington Election Commission</t>
  </si>
  <si>
    <t>City of Chicago</t>
  </si>
  <si>
    <t>Chicago Bd. of Election Commissioners</t>
  </si>
  <si>
    <t>City of Peoria</t>
  </si>
  <si>
    <t>Peoria Election Commission</t>
  </si>
  <si>
    <t>City of Rockford</t>
  </si>
  <si>
    <t>Rockford Bd. of Elections</t>
  </si>
  <si>
    <t>Will be uploaded (1/12)</t>
  </si>
  <si>
    <t>http://www.dailykos.com/i/user/303419/2012_Election_Results_for_Pres-by-CD_-_KS.zip</t>
  </si>
  <si>
    <t>Marshall</t>
  </si>
  <si>
    <t>Miami</t>
  </si>
  <si>
    <t>Pawnee</t>
  </si>
  <si>
    <t>http://www.dailykos.com/i/user/303419/2012_Election_Results_for_Pres-by-CD_-_KY.zip</t>
  </si>
  <si>
    <t>http://www.dailykos.com/i/user/303419/2012_Election_Results_for_Pres-by-CD_-_LA.zip</t>
  </si>
  <si>
    <t>http://www.dailykos.com/i/user/303419/2012_Election_Results_for_Pres-by-CD_-_MD.zip</t>
  </si>
  <si>
    <t>http://www.dailykos.com/i/user/303419/2012_Election_Results_by_Precinct_-_MN_Statewide.zip</t>
  </si>
  <si>
    <t>http://www.dailykos.com/i/user/303419/2012_Election_Results_for_Pres-by-CD_-_MS.zip</t>
  </si>
  <si>
    <t>http://www.dailykos.com/i/user/303419/2012_Election_Results_for_Pres-by-CD_-_NC.zip</t>
  </si>
  <si>
    <t>http://www.dailykos.com/i/user/303419/2012_Election_Results_by_Precinct_-_NH_Statewide.pdf</t>
  </si>
  <si>
    <t>http://www.dailykos.com/i/user/303419/2012_Election_Results_for_Pres-by-CD_-_NV.zip</t>
  </si>
  <si>
    <t>Clark</t>
  </si>
  <si>
    <t>Lyon</t>
  </si>
  <si>
    <t>http://www.dailykos.com/i/user/303419/2012_Election_Results_by_Precinct_-_OK_Statewide.zip</t>
  </si>
  <si>
    <t>http://www.dailykos.com/i/user/303419/2012_Election_Results_for_Pres-by-CD_-_OR.zip</t>
  </si>
  <si>
    <t>Benton</t>
  </si>
  <si>
    <t>Clackamas</t>
  </si>
  <si>
    <t>Josephine</t>
  </si>
  <si>
    <t>Multnomah</t>
  </si>
  <si>
    <t>http://www.dailykos.com/i/user/303419/2012_Election_Results_by_Precinct_-_RI_Statewide.zip</t>
  </si>
  <si>
    <t>http://www.dailykos.com/i/user/303419/2012_Election_Results_for_Pres-by-CD_-_SC.zip</t>
  </si>
  <si>
    <t>http://www.dailykos.com/i/user/303419/2012_Election_Results_by_Precinct_-_TN_Statewide.zip</t>
  </si>
  <si>
    <t>http://www.dailykos.com/i/user/303419/2012_Election_Results_for_Pres-by-CD_-_UT.zip</t>
  </si>
  <si>
    <t>Davis</t>
  </si>
  <si>
    <t>Juab</t>
  </si>
  <si>
    <t>Salt Lake</t>
  </si>
  <si>
    <t>Sanpete</t>
  </si>
  <si>
    <t>Utah</t>
  </si>
  <si>
    <t>http://www.dailykos.com/i/user/303419/2012_Election_Results_by_Precinct_-_WI_Statewide.zip</t>
  </si>
  <si>
    <t>Cert Date</t>
  </si>
  <si>
    <t>CDs</t>
  </si>
  <si>
    <t>Data Type</t>
  </si>
  <si>
    <t>Date Completed</t>
  </si>
  <si>
    <t>Data Source</t>
  </si>
  <si>
    <t>Notes</t>
  </si>
  <si>
    <t>Fully Complete</t>
  </si>
  <si>
    <t>Delaware</t>
  </si>
  <si>
    <t>SoS - Certification</t>
  </si>
  <si>
    <t>http://elections.delaware.gov/archive/elect12/elect12_general/html/election.shtml</t>
  </si>
  <si>
    <t>Oklahoma</t>
  </si>
  <si>
    <t>Precincts</t>
  </si>
  <si>
    <t>SoS - Statewide Precinct File</t>
  </si>
  <si>
    <t>http://www.ok.gov/elections/Candidates_&amp;_Elections/General_Election_-_November_6,_2012.html</t>
  </si>
  <si>
    <t>South Dakota</t>
  </si>
  <si>
    <t>http://sdsos.gov/content/html/elections/electvoterpdfs/2012/OfficialGeneralElectionStateCanvass.pdf</t>
  </si>
  <si>
    <t>Vermont</t>
  </si>
  <si>
    <t>http://vermont-elections.org/elections1/2012ElectionResults/2012GeneralElectionResults/2012GEStatewideCanvass.pdf</t>
  </si>
  <si>
    <t>Wyoming</t>
  </si>
  <si>
    <t>http://soswy.state.wy.us/Elections/Docs/2012/Results/General/2012_Statewide_Candidates_Summary.pdf</t>
  </si>
  <si>
    <t>Georgia</t>
  </si>
  <si>
    <t>SoS - Statewide Counties; SoS - Precincts</t>
  </si>
  <si>
    <t>http://results.enr.clarityelections.com/GA/42277/112424/en/summary.html</t>
  </si>
  <si>
    <t>South Carolina</t>
  </si>
  <si>
    <t>http://www.enr-scvotes.org/SC/42513/113010/en/summary.html</t>
  </si>
  <si>
    <t>Idaho</t>
  </si>
  <si>
    <t>Precincts/CDs</t>
  </si>
  <si>
    <t>http://www.sos.idaho.gov/elect/Results.htm</t>
  </si>
  <si>
    <t>CD calculation confirmed</t>
  </si>
  <si>
    <t>Arkansas</t>
  </si>
  <si>
    <t>http://results.enr.clarityelections.com/AR/42843/113050/en/summary.html</t>
  </si>
  <si>
    <t>North Dakota</t>
  </si>
  <si>
    <t>http://results.sos.nd.gov/resultsSW.aspx?text=Race&amp;type=SW&amp;map=CTY</t>
  </si>
  <si>
    <t>Louisiana</t>
  </si>
  <si>
    <t>http://electionresults.sos.la.gov/graphical/</t>
  </si>
  <si>
    <t>New Hampshire</t>
  </si>
  <si>
    <t>Towns</t>
  </si>
  <si>
    <t>SoS - Statewide Precinct Files</t>
  </si>
  <si>
    <t>http://sos.nh.gov/2012GenElectResults.aspx</t>
  </si>
  <si>
    <t>Hawaii</t>
  </si>
  <si>
    <t>http://hawaii.gov/elections/results/2012/general/</t>
  </si>
  <si>
    <t>Minnesota</t>
  </si>
  <si>
    <t>http://electionresults.sos.state.mn.us/enr/enr/home/1</t>
  </si>
  <si>
    <t>Statewide Reporting</t>
  </si>
  <si>
    <t>Rhode Island</t>
  </si>
  <si>
    <t>http://www.ri.gov/election/results/2012/general_election/</t>
  </si>
  <si>
    <t>Montana</t>
  </si>
  <si>
    <t>http://sos.mt.gov/elections/2012/2012_General_Canvass.pdf</t>
  </si>
  <si>
    <t>At-Large</t>
  </si>
  <si>
    <t>Alaska</t>
  </si>
  <si>
    <t>http://www.elections.alaska.gov/results/12GENR/data/results.htm</t>
  </si>
  <si>
    <t>Wisconsin</t>
  </si>
  <si>
    <t>SoS - Statewide Precinct FIle</t>
  </si>
  <si>
    <t>http://gab.wi.gov/elections-voting/results/2012/fall-general</t>
  </si>
  <si>
    <t>Kentucky</t>
  </si>
  <si>
    <t>http://elect.ky.gov/results/2010-2019/Pages/2012primaryandgeneralelectionresults.aspx</t>
  </si>
  <si>
    <t>Iowa</t>
  </si>
  <si>
    <t>Counties</t>
  </si>
  <si>
    <t>SoS - Statewide Counties</t>
  </si>
  <si>
    <t>http://electionresults.sos.iowa.gov/resultsSW.aspx?type=FED&amp;map=CTY</t>
  </si>
  <si>
    <t>Counties Only</t>
  </si>
  <si>
    <t>Nevada</t>
  </si>
  <si>
    <t>SoS - Statewide Counties; County BOEs - Precincts</t>
  </si>
  <si>
    <t>http://www.silverstateelection.com/</t>
  </si>
  <si>
    <t>Arizona</t>
  </si>
  <si>
    <t>http://results.enr.clarityelections.com/AZ/42050/113544/Web01/en/summary.html</t>
  </si>
  <si>
    <t>Mississippi</t>
  </si>
  <si>
    <t>http://www.sos.ms.gov/elections_results_2012_county.aspx</t>
  </si>
  <si>
    <t>Florida</t>
  </si>
  <si>
    <t>http://enight.elections.myflorida.com/CountyReportingStatus/</t>
  </si>
  <si>
    <t>Colorado</t>
  </si>
  <si>
    <t>http://www.sos.state.co.us/pubs/elections/main.html</t>
  </si>
  <si>
    <t>North Carolina</t>
  </si>
  <si>
    <t>http://results.enr.clarityelections.com/NC/42923/113873/Web01/en/summary.html</t>
  </si>
  <si>
    <t>Oregon</t>
  </si>
  <si>
    <t>http://oregonvotes.org/</t>
  </si>
  <si>
    <t>http://elections.utah.gov/election-resources/election-results</t>
  </si>
  <si>
    <t>Illinois</t>
  </si>
  <si>
    <t>http://elections.il.gov/electioninformation/DownloadVoteTotals.aspx</t>
  </si>
  <si>
    <t>Maryland</t>
  </si>
  <si>
    <t>http://www.elections.state.md.us/elections/2012/election_data/index.html</t>
  </si>
  <si>
    <t>Tennessee</t>
  </si>
  <si>
    <t>http://www.tn.gov/sos/election/results/2012-11/index.htm</t>
  </si>
  <si>
    <t>California</t>
  </si>
  <si>
    <t>Precincts/Partial CDs</t>
  </si>
  <si>
    <t>County BOEs - Partial CDs/Precincts</t>
  </si>
  <si>
    <t>http://www.sos.ca.gov/elections/sov/2012-general/</t>
  </si>
  <si>
    <t>New Mexico</t>
  </si>
  <si>
    <t>http://www.electionpeople.com/nmger2012/County/GroupByCountyTable.aspx</t>
  </si>
  <si>
    <t>Virginia</t>
  </si>
  <si>
    <t>https://www.voterinfo.sbe.virginia.gov/election/DATA/2012/68C30477-AAF2-46DD-994E-5D3BE8A89C9B/Official/1_s.shtml</t>
  </si>
  <si>
    <t>Washington</t>
  </si>
  <si>
    <t>SoS - Partial CDs</t>
  </si>
  <si>
    <t>https://wei.sos.wa.gov/agency/osos/en/press_and_research/PreviousElections/2012/General-Election/Pages/Results.aspx</t>
  </si>
  <si>
    <t>West Virginia</t>
  </si>
  <si>
    <t>http://apps.sos.wv.gov/elections/results/index.aspx?year=2012&amp;eid=13</t>
  </si>
  <si>
    <t>Kansas</t>
  </si>
  <si>
    <t>http://www.kssos.org/elections/elections_statistics.html</t>
  </si>
  <si>
    <t>Michigan</t>
  </si>
  <si>
    <t>http://miboecfr.nictusa.com/election/results/12GEN/</t>
  </si>
  <si>
    <t>Indiana</t>
  </si>
  <si>
    <t>http://www.in.gov/apps/sos/election/general/general2012</t>
  </si>
  <si>
    <t>Missouri</t>
  </si>
  <si>
    <t>http://enr.sos.mo.gov/ENR/Views/TabularData.aspx?TabView=StateRaces^%20%C2%A0%20%C2%A0%20Federal%20/%20Statewide%20Races%20%C2%A0%20%C2%A0^011656688155</t>
  </si>
  <si>
    <t>Ohio</t>
  </si>
  <si>
    <t>Partially Complete</t>
  </si>
  <si>
    <t>Alabama</t>
  </si>
  <si>
    <t>http://www.alabamaelectionresults.com/</t>
  </si>
  <si>
    <t>4 of 7 districts (1/3/2013)</t>
  </si>
  <si>
    <t>Pennsylvania</t>
  </si>
  <si>
    <t>http://www.electionreturns.state.pa.us/</t>
  </si>
  <si>
    <t>9 of 18 districts (1/13/2013)</t>
  </si>
  <si>
    <t>Texas</t>
  </si>
  <si>
    <t>http://elections.sos.state.tx.us/elchist.exe</t>
  </si>
  <si>
    <t>28 of 36 districts (1/9/2013)</t>
  </si>
  <si>
    <t>New York</t>
  </si>
  <si>
    <t>http://www.elections.ny.gov/2012ElectionResults.html</t>
  </si>
  <si>
    <t>22 of 27 districts (1/10/2013)</t>
  </si>
  <si>
    <t>To Be Started</t>
  </si>
  <si>
    <t>Maine</t>
  </si>
  <si>
    <t>http://www.maine.gov/sos/cec/elec/prior12-13.htm#nov</t>
  </si>
  <si>
    <t>New Jersey</t>
  </si>
  <si>
    <t>Towns + precincts</t>
  </si>
  <si>
    <t>http://nj.gov/state/elections/election-information.html</t>
  </si>
  <si>
    <t>Town Only Statewide Reporting</t>
  </si>
  <si>
    <t>Nebraska</t>
  </si>
  <si>
    <t>SoS - CDs</t>
  </si>
  <si>
    <t>Connecticut</t>
  </si>
  <si>
    <t>Massachusetts</t>
  </si>
  <si>
    <t>Rely on Boston Globe in interim; may be issues: http://www.dailykos.com/comments/1163009/48487700#c36</t>
  </si>
  <si>
    <r>
      <t xml:space="preserve">For an explanation of our calculation methods, see this </t>
    </r>
    <r>
      <rPr>
        <u/>
        <sz val="10"/>
        <color rgb="FF1155CC"/>
        <rFont val="Arial"/>
      </rPr>
      <t>post.</t>
    </r>
  </si>
  <si>
    <t>2008 presidential data are unavailable for California.</t>
  </si>
  <si>
    <r>
      <t xml:space="preserve">All our elections data can be found at </t>
    </r>
    <r>
      <rPr>
        <u/>
        <sz val="10"/>
        <color rgb="FF1155CC"/>
        <rFont val="Arial"/>
      </rPr>
      <t>dailykosdata.com</t>
    </r>
  </si>
  <si>
    <t>We are grateful to jeffmd who created our templates for calculating results by districts.</t>
  </si>
  <si>
    <t>Citation guide:</t>
  </si>
  <si>
    <t>Journalists</t>
  </si>
  <si>
    <r>
      <t xml:space="preserve">Please cite us by name, Daily Kos Elections, and website, </t>
    </r>
    <r>
      <rPr>
        <u/>
        <sz val="10"/>
        <color rgb="FF1155CC"/>
        <rFont val="Arial"/>
      </rPr>
      <t>dailykosdata.com</t>
    </r>
    <r>
      <rPr>
        <sz val="10"/>
        <color rgb="FF000000"/>
        <rFont val="Arial"/>
      </rPr>
      <t xml:space="preserve">, including a link in online material </t>
    </r>
  </si>
  <si>
    <t>Academics</t>
  </si>
  <si>
    <t>Authors: Jeff Singer and David Nir</t>
  </si>
  <si>
    <t>Title: Daily Kos Elections 2008 &amp; 2012 presidential election results for congressional districts used in 2012 &amp; 2014 elections</t>
  </si>
  <si>
    <t>Date: 2015</t>
  </si>
  <si>
    <t>Publisher: Daily Kos Elections</t>
  </si>
  <si>
    <t>URL: https://docs.google.com/spreadsheets/d/1xn6nCNM97oFDZ4M-HQgoUT3X4paOiSDsRMSuxbaOBdg/</t>
  </si>
  <si>
    <r>
      <t xml:space="preserve">-or- </t>
    </r>
    <r>
      <rPr>
        <u/>
        <sz val="10"/>
        <color rgb="FF1155CC"/>
        <rFont val="Arial"/>
      </rPr>
      <t>dailykosdata.com</t>
    </r>
  </si>
  <si>
    <t>Corresponding author: davidnir@dailykos.com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</si>
</sst>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,##0.0"/>
    <numFmt numFmtId="165" formatCode="0.0%"/>
    <numFmt numFmtId="166" formatCode="m/d/yyyy\ h:mm:ss"/>
    <numFmt numFmtId="167" formatCode="mmmm\ d"/>
  </numFmts>
  <fonts count="30" x14ac:knownFonts="1"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FF0000"/>
      <name val="Arial"/>
    </font>
    <font>
      <sz val="10"/>
      <color rgb="FF0000FF"/>
      <name val="Arial"/>
    </font>
    <font>
      <i/>
      <sz val="10"/>
      <color rgb="FF000000"/>
      <name val="Arial"/>
    </font>
    <font>
      <sz val="10"/>
      <name val="Arial"/>
    </font>
    <font>
      <b/>
      <i/>
      <sz val="10"/>
      <color rgb="FF000000"/>
      <name val="Arial"/>
    </font>
    <font>
      <b/>
      <sz val="10"/>
      <color rgb="FF4A86E8"/>
      <name val="Arial"/>
    </font>
    <font>
      <b/>
      <sz val="10"/>
      <name val="Arial"/>
    </font>
    <font>
      <sz val="10"/>
      <name val="Calibri"/>
    </font>
    <font>
      <sz val="1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10"/>
      <name val="Arial"/>
    </font>
    <font>
      <u/>
      <sz val="10"/>
      <color rgb="FF0000FF"/>
      <name val="Arial"/>
    </font>
    <font>
      <i/>
      <sz val="1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000000"/>
      <name val="Arial"/>
    </font>
    <font>
      <b/>
      <sz val="10"/>
      <name val="Arial"/>
    </font>
    <font>
      <u/>
      <sz val="10"/>
      <color rgb="FF1155CC"/>
      <name val="Arial"/>
    </font>
  </fonts>
  <fills count="1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CCFFCC"/>
        <bgColor rgb="FFCCFFCC"/>
      </patternFill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90"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2" fillId="0" borderId="0" xfId="0" applyFont="1"/>
    <xf numFmtId="0" fontId="3" fillId="0" borderId="0" xfId="0" applyFont="1" applyAlignment="1">
      <alignment horizontal="center"/>
    </xf>
    <xf numFmtId="164" fontId="2" fillId="0" borderId="0" xfId="0" applyNumberFormat="1" applyFont="1"/>
    <xf numFmtId="164" fontId="2" fillId="5" borderId="0" xfId="0" applyNumberFormat="1" applyFont="1" applyFill="1"/>
    <xf numFmtId="0" fontId="4" fillId="0" borderId="0" xfId="0" applyFont="1" applyAlignment="1">
      <alignment horizontal="center"/>
    </xf>
    <xf numFmtId="3" fontId="5" fillId="5" borderId="0" xfId="0" applyNumberFormat="1" applyFont="1" applyFill="1"/>
    <xf numFmtId="0" fontId="2" fillId="5" borderId="0" xfId="0" applyFont="1" applyFill="1"/>
    <xf numFmtId="164" fontId="5" fillId="5" borderId="0" xfId="0" applyNumberFormat="1" applyFont="1" applyFill="1"/>
    <xf numFmtId="0" fontId="4" fillId="5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164" fontId="6" fillId="0" borderId="0" xfId="0" applyNumberFormat="1" applyFont="1" applyAlignment="1">
      <alignment wrapText="1"/>
    </xf>
    <xf numFmtId="0" fontId="6" fillId="0" borderId="0" xfId="0" applyFont="1" applyAlignment="1">
      <alignment wrapText="1"/>
    </xf>
    <xf numFmtId="0" fontId="6" fillId="5" borderId="0" xfId="0" applyFont="1" applyFill="1" applyAlignment="1">
      <alignment wrapText="1"/>
    </xf>
    <xf numFmtId="3" fontId="7" fillId="5" borderId="0" xfId="0" applyNumberFormat="1" applyFont="1" applyFill="1"/>
    <xf numFmtId="164" fontId="8" fillId="5" borderId="0" xfId="0" applyNumberFormat="1" applyFont="1" applyFill="1"/>
    <xf numFmtId="164" fontId="2" fillId="0" borderId="0" xfId="0" applyNumberFormat="1" applyFont="1" applyAlignment="1">
      <alignment horizontal="right"/>
    </xf>
    <xf numFmtId="0" fontId="1" fillId="6" borderId="0" xfId="0" applyFont="1" applyFill="1" applyAlignment="1">
      <alignment horizontal="center"/>
    </xf>
    <xf numFmtId="0" fontId="9" fillId="7" borderId="0" xfId="0" applyFont="1" applyFill="1" applyAlignment="1">
      <alignment horizontal="center" wrapText="1"/>
    </xf>
    <xf numFmtId="0" fontId="9" fillId="4" borderId="0" xfId="0" applyFont="1" applyFill="1" applyAlignment="1">
      <alignment horizontal="center" wrapText="1"/>
    </xf>
    <xf numFmtId="0" fontId="10" fillId="7" borderId="0" xfId="0" applyFont="1" applyFill="1" applyAlignment="1">
      <alignment wrapText="1"/>
    </xf>
    <xf numFmtId="0" fontId="9" fillId="8" borderId="0" xfId="0" applyFont="1" applyFill="1" applyAlignment="1">
      <alignment horizontal="center" wrapText="1"/>
    </xf>
    <xf numFmtId="0" fontId="6" fillId="7" borderId="0" xfId="0" applyFont="1" applyFill="1" applyAlignment="1">
      <alignment wrapText="1"/>
    </xf>
    <xf numFmtId="3" fontId="11" fillId="5" borderId="0" xfId="0" applyNumberFormat="1" applyFont="1" applyFill="1" applyAlignment="1">
      <alignment horizontal="right" wrapText="1"/>
    </xf>
    <xf numFmtId="165" fontId="11" fillId="5" borderId="0" xfId="0" applyNumberFormat="1" applyFont="1" applyFill="1" applyAlignment="1">
      <alignment horizontal="right" wrapText="1"/>
    </xf>
    <xf numFmtId="165" fontId="11" fillId="7" borderId="0" xfId="0" applyNumberFormat="1" applyFont="1" applyFill="1" applyAlignment="1">
      <alignment wrapText="1"/>
    </xf>
    <xf numFmtId="3" fontId="11" fillId="9" borderId="0" xfId="0" applyNumberFormat="1" applyFont="1" applyFill="1" applyAlignment="1">
      <alignment horizontal="right" wrapText="1"/>
    </xf>
    <xf numFmtId="165" fontId="11" fillId="9" borderId="0" xfId="0" applyNumberFormat="1" applyFont="1" applyFill="1" applyAlignment="1">
      <alignment horizontal="right" wrapText="1"/>
    </xf>
    <xf numFmtId="164" fontId="11" fillId="9" borderId="0" xfId="0" applyNumberFormat="1" applyFont="1" applyFill="1" applyAlignment="1">
      <alignment horizontal="right" wrapText="1"/>
    </xf>
    <xf numFmtId="164" fontId="11" fillId="5" borderId="0" xfId="0" applyNumberFormat="1" applyFont="1" applyFill="1" applyAlignment="1">
      <alignment horizontal="right" wrapText="1"/>
    </xf>
    <xf numFmtId="3" fontId="11" fillId="7" borderId="0" xfId="0" applyNumberFormat="1" applyFont="1" applyFill="1" applyAlignment="1">
      <alignment wrapText="1"/>
    </xf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wrapText="1"/>
    </xf>
    <xf numFmtId="0" fontId="1" fillId="10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4" fillId="5" borderId="0" xfId="0" applyFont="1" applyFill="1" applyAlignment="1">
      <alignment horizontal="center" wrapText="1"/>
    </xf>
    <xf numFmtId="0" fontId="15" fillId="0" borderId="0" xfId="0" applyFont="1" applyAlignment="1">
      <alignment horizontal="center" wrapText="1"/>
    </xf>
    <xf numFmtId="0" fontId="16" fillId="7" borderId="1" xfId="0" applyFont="1" applyFill="1" applyBorder="1" applyAlignment="1">
      <alignment horizontal="center" wrapText="1"/>
    </xf>
    <xf numFmtId="0" fontId="2" fillId="11" borderId="2" xfId="0" applyFont="1" applyFill="1" applyBorder="1"/>
    <xf numFmtId="0" fontId="6" fillId="11" borderId="2" xfId="0" applyFont="1" applyFill="1" applyBorder="1" applyAlignment="1">
      <alignment wrapText="1"/>
    </xf>
    <xf numFmtId="0" fontId="17" fillId="11" borderId="2" xfId="0" applyFont="1" applyFill="1" applyBorder="1" applyAlignment="1">
      <alignment wrapText="1"/>
    </xf>
    <xf numFmtId="0" fontId="2" fillId="12" borderId="0" xfId="0" applyFont="1" applyFill="1"/>
    <xf numFmtId="0" fontId="18" fillId="12" borderId="0" xfId="0" applyFont="1" applyFill="1" applyAlignment="1">
      <alignment wrapText="1"/>
    </xf>
    <xf numFmtId="0" fontId="2" fillId="11" borderId="0" xfId="0" applyFont="1" applyFill="1"/>
    <xf numFmtId="0" fontId="6" fillId="11" borderId="0" xfId="0" applyFont="1" applyFill="1" applyAlignment="1">
      <alignment wrapText="1"/>
    </xf>
    <xf numFmtId="0" fontId="19" fillId="11" borderId="0" xfId="0" applyFont="1" applyFill="1" applyAlignment="1">
      <alignment wrapText="1"/>
    </xf>
    <xf numFmtId="0" fontId="20" fillId="11" borderId="0" xfId="0" applyFont="1" applyFill="1" applyAlignment="1">
      <alignment wrapText="1"/>
    </xf>
    <xf numFmtId="0" fontId="2" fillId="13" borderId="0" xfId="0" applyFont="1" applyFill="1"/>
    <xf numFmtId="0" fontId="6" fillId="13" borderId="0" xfId="0" applyFont="1" applyFill="1" applyAlignment="1">
      <alignment wrapText="1"/>
    </xf>
    <xf numFmtId="0" fontId="21" fillId="13" borderId="0" xfId="0" applyFont="1" applyFill="1" applyAlignment="1">
      <alignment wrapText="1"/>
    </xf>
    <xf numFmtId="0" fontId="22" fillId="13" borderId="0" xfId="0" applyFont="1" applyFill="1" applyAlignment="1">
      <alignment wrapText="1"/>
    </xf>
    <xf numFmtId="0" fontId="2" fillId="8" borderId="0" xfId="0" applyFont="1" applyFill="1"/>
    <xf numFmtId="0" fontId="6" fillId="8" borderId="0" xfId="0" applyFont="1" applyFill="1" applyAlignment="1">
      <alignment wrapText="1"/>
    </xf>
    <xf numFmtId="0" fontId="23" fillId="8" borderId="0" xfId="0" applyFont="1" applyFill="1" applyAlignment="1">
      <alignment wrapText="1"/>
    </xf>
    <xf numFmtId="0" fontId="6" fillId="12" borderId="0" xfId="0" applyFont="1" applyFill="1" applyAlignment="1">
      <alignment wrapText="1"/>
    </xf>
    <xf numFmtId="0" fontId="24" fillId="11" borderId="0" xfId="0" applyFont="1" applyFill="1"/>
    <xf numFmtId="0" fontId="16" fillId="0" borderId="0" xfId="0" applyFont="1" applyAlignment="1">
      <alignment horizontal="center" wrapText="1"/>
    </xf>
    <xf numFmtId="166" fontId="16" fillId="0" borderId="0" xfId="0" applyNumberFormat="1" applyFont="1" applyAlignment="1">
      <alignment horizontal="center" wrapText="1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wrapText="1"/>
    </xf>
    <xf numFmtId="166" fontId="6" fillId="0" borderId="0" xfId="0" applyNumberFormat="1" applyFont="1" applyAlignment="1">
      <alignment wrapText="1"/>
    </xf>
    <xf numFmtId="0" fontId="6" fillId="0" borderId="0" xfId="0" applyFont="1"/>
    <xf numFmtId="167" fontId="6" fillId="0" borderId="0" xfId="0" applyNumberFormat="1" applyFont="1" applyAlignment="1">
      <alignment horizontal="left" wrapText="1"/>
    </xf>
    <xf numFmtId="14" fontId="6" fillId="0" borderId="0" xfId="0" applyNumberFormat="1" applyFont="1" applyAlignment="1">
      <alignment wrapText="1"/>
    </xf>
    <xf numFmtId="0" fontId="25" fillId="0" borderId="0" xfId="0" applyFont="1"/>
    <xf numFmtId="0" fontId="6" fillId="10" borderId="0" xfId="0" applyFont="1" applyFill="1" applyAlignment="1">
      <alignment wrapText="1"/>
    </xf>
    <xf numFmtId="14" fontId="2" fillId="5" borderId="0" xfId="0" applyNumberFormat="1" applyFont="1" applyFill="1" applyAlignment="1">
      <alignment wrapText="1"/>
    </xf>
    <xf numFmtId="14" fontId="6" fillId="5" borderId="0" xfId="0" applyNumberFormat="1" applyFont="1" applyFill="1" applyAlignment="1">
      <alignment wrapText="1"/>
    </xf>
    <xf numFmtId="0" fontId="16" fillId="0" borderId="0" xfId="0" applyFont="1"/>
    <xf numFmtId="0" fontId="6" fillId="3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166" fontId="6" fillId="0" borderId="0" xfId="0" applyNumberFormat="1" applyFont="1" applyAlignment="1">
      <alignment horizontal="left" wrapText="1"/>
    </xf>
    <xf numFmtId="14" fontId="2" fillId="12" borderId="0" xfId="0" applyNumberFormat="1" applyFont="1" applyFill="1" applyAlignment="1">
      <alignment wrapText="1"/>
    </xf>
    <xf numFmtId="14" fontId="6" fillId="12" borderId="0" xfId="0" applyNumberFormat="1" applyFont="1" applyFill="1" applyAlignment="1">
      <alignment wrapText="1"/>
    </xf>
    <xf numFmtId="0" fontId="1" fillId="5" borderId="0" xfId="0" applyFont="1" applyFill="1" applyAlignment="1">
      <alignment wrapText="1"/>
    </xf>
    <xf numFmtId="0" fontId="26" fillId="0" borderId="0" xfId="0" applyFont="1"/>
    <xf numFmtId="0" fontId="27" fillId="5" borderId="0" xfId="0" applyFont="1" applyFill="1" applyAlignment="1">
      <alignment horizontal="left" wrapText="1"/>
    </xf>
    <xf numFmtId="0" fontId="28" fillId="0" borderId="0" xfId="0" applyFont="1"/>
    <xf numFmtId="0" fontId="1" fillId="3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1" fillId="4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/>
    </xf>
    <xf numFmtId="0" fontId="9" fillId="4" borderId="0" xfId="0" applyFont="1" applyFill="1" applyAlignment="1">
      <alignment horizontal="center" wrapText="1"/>
    </xf>
    <xf numFmtId="0" fontId="9" fillId="8" borderId="0" xfId="0" applyFont="1" applyFill="1" applyAlignment="1">
      <alignment horizontal="center" wrapText="1"/>
    </xf>
    <xf numFmtId="0" fontId="1" fillId="10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Vote totals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O437" headerRowCount="0">
  <tableColumns count="15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</tableColumns>
  <tableStyleInfo name="Vote totals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www.dailykos.com/i/user/303419/2012_Election_Results_by_Precinct_-_ID_Statewide.xls" TargetMode="External"/><Relationship Id="rId13" Type="http://schemas.openxmlformats.org/officeDocument/2006/relationships/hyperlink" Target="http://www.dailykos.com/i/user/303419/2012_Election_Results_by_Precinct_-_MN_Statewide.zip" TargetMode="External"/><Relationship Id="rId18" Type="http://schemas.openxmlformats.org/officeDocument/2006/relationships/hyperlink" Target="http://www.dailykos.com/i/user/303419/2012_Election_Results_by_Precinct_-_OK_Statewide.zip" TargetMode="External"/><Relationship Id="rId3" Type="http://schemas.openxmlformats.org/officeDocument/2006/relationships/hyperlink" Target="http://www.dailykos.com/i/user/303419/2012_Election_Results_for_Pres-by-CD_-_CO.zip" TargetMode="External"/><Relationship Id="rId21" Type="http://schemas.openxmlformats.org/officeDocument/2006/relationships/hyperlink" Target="http://www.dailykos.com/i/user/303419/2012_Election_Results_for_Pres-by-CD_-_SC.zip" TargetMode="External"/><Relationship Id="rId7" Type="http://schemas.openxmlformats.org/officeDocument/2006/relationships/hyperlink" Target="http://www.dailykos.com/i/user/303419/2012_Election_Results_by_County_-_IA_Statewide.xls" TargetMode="External"/><Relationship Id="rId12" Type="http://schemas.openxmlformats.org/officeDocument/2006/relationships/hyperlink" Target="http://www.dailykos.com/i/user/303419/2012_Election_Results_for_Pres-by-CD_-_MD.zip" TargetMode="External"/><Relationship Id="rId17" Type="http://schemas.openxmlformats.org/officeDocument/2006/relationships/hyperlink" Target="http://www.dailykos.com/i/user/303419/2012_Election_Results_for_Pres-by-CD_-_NV.zip" TargetMode="External"/><Relationship Id="rId2" Type="http://schemas.openxmlformats.org/officeDocument/2006/relationships/hyperlink" Target="http://www.dailykos.com/i/user/303419/2012_Election_Results_for_Pres-by-CD_-_AZ.zip" TargetMode="External"/><Relationship Id="rId16" Type="http://schemas.openxmlformats.org/officeDocument/2006/relationships/hyperlink" Target="http://www.dailykos.com/i/user/303419/2012_Election_Results_by_Precinct_-_NH_Statewide.pdf" TargetMode="External"/><Relationship Id="rId20" Type="http://schemas.openxmlformats.org/officeDocument/2006/relationships/hyperlink" Target="http://www.dailykos.com/i/user/303419/2012_Election_Results_by_Precinct_-_RI_Statewide.zip" TargetMode="External"/><Relationship Id="rId1" Type="http://schemas.openxmlformats.org/officeDocument/2006/relationships/hyperlink" Target="http://www.dailykos.com/i/user/303419/2012_Election_Results_for_Pres-by-CD_-_AR.zip" TargetMode="External"/><Relationship Id="rId6" Type="http://schemas.openxmlformats.org/officeDocument/2006/relationships/hyperlink" Target="http://www.dailykos.com/i/user/303419/2012_Election_Results_by_Precinct_-_HI_Statewide.txt" TargetMode="External"/><Relationship Id="rId11" Type="http://schemas.openxmlformats.org/officeDocument/2006/relationships/hyperlink" Target="http://www.dailykos.com/i/user/303419/2012_Election_Results_for_Pres-by-CD_-_LA.zip" TargetMode="External"/><Relationship Id="rId24" Type="http://schemas.openxmlformats.org/officeDocument/2006/relationships/hyperlink" Target="http://www.dailykos.com/i/user/303419/2012_Election_Results_by_Precinct_-_WI_Statewide.zip" TargetMode="External"/><Relationship Id="rId5" Type="http://schemas.openxmlformats.org/officeDocument/2006/relationships/hyperlink" Target="http://www.dailykos.com/i/user/303419/2012_Election_Results_for_Pres-by-CD_-_GA.zip" TargetMode="External"/><Relationship Id="rId15" Type="http://schemas.openxmlformats.org/officeDocument/2006/relationships/hyperlink" Target="http://www.dailykos.com/i/user/303419/2012_Election_Results_for_Pres-by-CD_-_NC.zip" TargetMode="External"/><Relationship Id="rId23" Type="http://schemas.openxmlformats.org/officeDocument/2006/relationships/hyperlink" Target="http://www.dailykos.com/i/user/303419/2012_Election_Results_for_Pres-by-CD_-_UT.zip" TargetMode="External"/><Relationship Id="rId10" Type="http://schemas.openxmlformats.org/officeDocument/2006/relationships/hyperlink" Target="http://www.dailykos.com/i/user/303419/2012_Election_Results_for_Pres-by-CD_-_KY.zip" TargetMode="External"/><Relationship Id="rId19" Type="http://schemas.openxmlformats.org/officeDocument/2006/relationships/hyperlink" Target="http://www.dailykos.com/i/user/303419/2012_Election_Results_for_Pres-by-CD_-_OR.zip" TargetMode="External"/><Relationship Id="rId4" Type="http://schemas.openxmlformats.org/officeDocument/2006/relationships/hyperlink" Target="http://www.dailykos.com/i/user/303419/2012_Election_Results_for_Pres-by-CD_-_FL.zip" TargetMode="External"/><Relationship Id="rId9" Type="http://schemas.openxmlformats.org/officeDocument/2006/relationships/hyperlink" Target="http://www.dailykos.com/i/user/303419/2012_Election_Results_for_Pres-by-CD_-_KS.zip" TargetMode="External"/><Relationship Id="rId14" Type="http://schemas.openxmlformats.org/officeDocument/2006/relationships/hyperlink" Target="http://www.dailykos.com/i/user/303419/2012_Election_Results_for_Pres-by-CD_-_MS.zip" TargetMode="External"/><Relationship Id="rId22" Type="http://schemas.openxmlformats.org/officeDocument/2006/relationships/hyperlink" Target="http://www.dailykos.com/i/user/303419/2012_Election_Results_by_Precinct_-_TN_Statewide.zip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://hawaii.gov/elections/results/2012/general/" TargetMode="External"/><Relationship Id="rId18" Type="http://schemas.openxmlformats.org/officeDocument/2006/relationships/hyperlink" Target="http://gab.wi.gov/elections-voting/results/2012/fall-general" TargetMode="External"/><Relationship Id="rId26" Type="http://schemas.openxmlformats.org/officeDocument/2006/relationships/hyperlink" Target="http://results.enr.clarityelections.com/NC/42923/113873/Web01/en/summary.html" TargetMode="External"/><Relationship Id="rId39" Type="http://schemas.openxmlformats.org/officeDocument/2006/relationships/hyperlink" Target="http://www.in.gov/apps/sos/election/general/general2012" TargetMode="External"/><Relationship Id="rId21" Type="http://schemas.openxmlformats.org/officeDocument/2006/relationships/hyperlink" Target="http://www.silverstateelection.com/" TargetMode="External"/><Relationship Id="rId34" Type="http://schemas.openxmlformats.org/officeDocument/2006/relationships/hyperlink" Target="https://www.voterinfo.sbe.virginia.gov/election/DATA/2012/68C30477-AAF2-46DD-994E-5D3BE8A89C9B/Official/1_s.shtml" TargetMode="External"/><Relationship Id="rId42" Type="http://schemas.openxmlformats.org/officeDocument/2006/relationships/hyperlink" Target="http://www.electionreturns.state.pa.us/" TargetMode="External"/><Relationship Id="rId7" Type="http://schemas.openxmlformats.org/officeDocument/2006/relationships/hyperlink" Target="http://www.enr-scvotes.org/SC/42513/113010/en/summary.html" TargetMode="External"/><Relationship Id="rId2" Type="http://schemas.openxmlformats.org/officeDocument/2006/relationships/hyperlink" Target="http://www.ok.gov/elections/Candidates_&amp;_Elections/General_Election_-_November_6,_2012.html" TargetMode="External"/><Relationship Id="rId16" Type="http://schemas.openxmlformats.org/officeDocument/2006/relationships/hyperlink" Target="http://sos.mt.gov/elections/2012/2012_General_Canvass.pdf" TargetMode="External"/><Relationship Id="rId29" Type="http://schemas.openxmlformats.org/officeDocument/2006/relationships/hyperlink" Target="http://elections.il.gov/electioninformation/DownloadVoteTotals.aspx" TargetMode="External"/><Relationship Id="rId1" Type="http://schemas.openxmlformats.org/officeDocument/2006/relationships/hyperlink" Target="http://elections.delaware.gov/archive/elect12/elect12_general/html/election.shtml" TargetMode="External"/><Relationship Id="rId6" Type="http://schemas.openxmlformats.org/officeDocument/2006/relationships/hyperlink" Target="http://results.enr.clarityelections.com/GA/42277/112424/en/summary.html" TargetMode="External"/><Relationship Id="rId11" Type="http://schemas.openxmlformats.org/officeDocument/2006/relationships/hyperlink" Target="http://electionresults.sos.la.gov/graphical/" TargetMode="External"/><Relationship Id="rId24" Type="http://schemas.openxmlformats.org/officeDocument/2006/relationships/hyperlink" Target="http://enight.elections.myflorida.com/CountyReportingStatus/" TargetMode="External"/><Relationship Id="rId32" Type="http://schemas.openxmlformats.org/officeDocument/2006/relationships/hyperlink" Target="http://www.sos.ca.gov/elections/sov/2012-general/" TargetMode="External"/><Relationship Id="rId37" Type="http://schemas.openxmlformats.org/officeDocument/2006/relationships/hyperlink" Target="http://www.kssos.org/elections/elections_statistics.html" TargetMode="External"/><Relationship Id="rId40" Type="http://schemas.openxmlformats.org/officeDocument/2006/relationships/hyperlink" Target="http://enr.sos.mo.gov/ENR/Views/TabularData.aspx?TabView=StateRaces%5E%20%C2%A0%20%C2%A0%20Federal%20/%20Statewide%20Races%20%C2%A0%20%C2%A0%5E011656688155" TargetMode="External"/><Relationship Id="rId45" Type="http://schemas.openxmlformats.org/officeDocument/2006/relationships/hyperlink" Target="http://www.maine.gov/sos/cec/elec/prior12-13.htm" TargetMode="External"/><Relationship Id="rId5" Type="http://schemas.openxmlformats.org/officeDocument/2006/relationships/hyperlink" Target="http://soswy.state.wy.us/Elections/Docs/2012/Results/General/2012_Statewide_Candidates_Summary.pdf" TargetMode="External"/><Relationship Id="rId15" Type="http://schemas.openxmlformats.org/officeDocument/2006/relationships/hyperlink" Target="http://www.ri.gov/election/results/2012/general_election/" TargetMode="External"/><Relationship Id="rId23" Type="http://schemas.openxmlformats.org/officeDocument/2006/relationships/hyperlink" Target="http://www.sos.ms.gov/elections_results_2012_county.aspx" TargetMode="External"/><Relationship Id="rId28" Type="http://schemas.openxmlformats.org/officeDocument/2006/relationships/hyperlink" Target="http://elections.utah.gov/election-resources/election-results" TargetMode="External"/><Relationship Id="rId36" Type="http://schemas.openxmlformats.org/officeDocument/2006/relationships/hyperlink" Target="http://apps.sos.wv.gov/elections/results/index.aspx?year=2012&amp;eid=13" TargetMode="External"/><Relationship Id="rId10" Type="http://schemas.openxmlformats.org/officeDocument/2006/relationships/hyperlink" Target="http://results.sos.nd.gov/resultsSW.aspx?text=Race&amp;type=SW&amp;map=CTY" TargetMode="External"/><Relationship Id="rId19" Type="http://schemas.openxmlformats.org/officeDocument/2006/relationships/hyperlink" Target="http://elect.ky.gov/results/2010-2019/Pages/2012primaryandgeneralelectionresults.aspx" TargetMode="External"/><Relationship Id="rId31" Type="http://schemas.openxmlformats.org/officeDocument/2006/relationships/hyperlink" Target="http://www.tn.gov/sos/election/results/2012-11/index.htm" TargetMode="External"/><Relationship Id="rId44" Type="http://schemas.openxmlformats.org/officeDocument/2006/relationships/hyperlink" Target="http://www.elections.ny.gov/2012ElectionResults.html" TargetMode="External"/><Relationship Id="rId4" Type="http://schemas.openxmlformats.org/officeDocument/2006/relationships/hyperlink" Target="http://vermont-elections.org/elections1/2012ElectionResults/2012GeneralElectionResults/2012GEStatewideCanvass.pdf" TargetMode="External"/><Relationship Id="rId9" Type="http://schemas.openxmlformats.org/officeDocument/2006/relationships/hyperlink" Target="http://results.enr.clarityelections.com/AR/42843/113050/en/summary.html" TargetMode="External"/><Relationship Id="rId14" Type="http://schemas.openxmlformats.org/officeDocument/2006/relationships/hyperlink" Target="http://electionresults.sos.state.mn.us/enr/enr/home/1" TargetMode="External"/><Relationship Id="rId22" Type="http://schemas.openxmlformats.org/officeDocument/2006/relationships/hyperlink" Target="http://results.enr.clarityelections.com/AZ/42050/113544/Web01/en/summary.html" TargetMode="External"/><Relationship Id="rId27" Type="http://schemas.openxmlformats.org/officeDocument/2006/relationships/hyperlink" Target="http://oregonvotes.org/" TargetMode="External"/><Relationship Id="rId30" Type="http://schemas.openxmlformats.org/officeDocument/2006/relationships/hyperlink" Target="http://www.elections.state.md.us/elections/2012/election_data/index.html" TargetMode="External"/><Relationship Id="rId35" Type="http://schemas.openxmlformats.org/officeDocument/2006/relationships/hyperlink" Target="https://wei.sos.wa.gov/agency/osos/en/press_and_research/PreviousElections/2012/General-Election/Pages/Results.aspx" TargetMode="External"/><Relationship Id="rId43" Type="http://schemas.openxmlformats.org/officeDocument/2006/relationships/hyperlink" Target="http://elections.sos.state.tx.us/elchist.exe" TargetMode="External"/><Relationship Id="rId8" Type="http://schemas.openxmlformats.org/officeDocument/2006/relationships/hyperlink" Target="http://www.sos.idaho.gov/elect/Results.htm" TargetMode="External"/><Relationship Id="rId3" Type="http://schemas.openxmlformats.org/officeDocument/2006/relationships/hyperlink" Target="http://sdsos.gov/content/html/elections/electvoterpdfs/2012/OfficialGeneralElectionStateCanvass.pdf" TargetMode="External"/><Relationship Id="rId12" Type="http://schemas.openxmlformats.org/officeDocument/2006/relationships/hyperlink" Target="http://sos.nh.gov/2012GenElectResults.aspx" TargetMode="External"/><Relationship Id="rId17" Type="http://schemas.openxmlformats.org/officeDocument/2006/relationships/hyperlink" Target="http://www.elections.alaska.gov/results/12GENR/data/results.htm" TargetMode="External"/><Relationship Id="rId25" Type="http://schemas.openxmlformats.org/officeDocument/2006/relationships/hyperlink" Target="http://www.sos.state.co.us/pubs/elections/main.html" TargetMode="External"/><Relationship Id="rId33" Type="http://schemas.openxmlformats.org/officeDocument/2006/relationships/hyperlink" Target="http://www.electionpeople.com/nmger2012/County/GroupByCountyTable.aspx" TargetMode="External"/><Relationship Id="rId38" Type="http://schemas.openxmlformats.org/officeDocument/2006/relationships/hyperlink" Target="http://miboecfr.nictusa.com/election/results/12GEN/" TargetMode="External"/><Relationship Id="rId46" Type="http://schemas.openxmlformats.org/officeDocument/2006/relationships/hyperlink" Target="http://nj.gov/state/elections/election-information.html" TargetMode="External"/><Relationship Id="rId20" Type="http://schemas.openxmlformats.org/officeDocument/2006/relationships/hyperlink" Target="http://electionresults.sos.iowa.gov/resultsSW.aspx?type=FED&amp;map=CTY" TargetMode="External"/><Relationship Id="rId41" Type="http://schemas.openxmlformats.org/officeDocument/2006/relationships/hyperlink" Target="http://www.alabamaelectionresults.com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dailykosdata.com/" TargetMode="External"/><Relationship Id="rId2" Type="http://schemas.openxmlformats.org/officeDocument/2006/relationships/hyperlink" Target="http://dailykosdata.com/" TargetMode="External"/><Relationship Id="rId1" Type="http://schemas.openxmlformats.org/officeDocument/2006/relationships/hyperlink" Target="https://www.dailykos.com/stories/2021/9/29/2055001/-Daily-Kos-Elections-2020-presidential-results-by-congressional-district-for-new-and-old-districts" TargetMode="External"/><Relationship Id="rId4" Type="http://schemas.openxmlformats.org/officeDocument/2006/relationships/hyperlink" Target="http://dailykosdat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37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2.75" customHeight="1" x14ac:dyDescent="0.2"/>
  <cols>
    <col min="1" max="1" width="6.140625" customWidth="1"/>
    <col min="2" max="2" width="22" customWidth="1"/>
    <col min="3" max="3" width="5.140625" customWidth="1"/>
    <col min="4" max="4" width="6.5703125" customWidth="1"/>
    <col min="5" max="5" width="7.5703125" customWidth="1"/>
    <col min="6" max="6" width="6.5703125" customWidth="1"/>
    <col min="7" max="7" width="6.85546875" customWidth="1"/>
  </cols>
  <sheetData>
    <row r="1" spans="1:7" ht="12" customHeight="1" x14ac:dyDescent="0.2">
      <c r="A1" s="1"/>
      <c r="B1" s="1"/>
      <c r="C1" s="1"/>
      <c r="D1" s="82">
        <v>2012</v>
      </c>
      <c r="E1" s="83"/>
      <c r="F1" s="84">
        <v>2008</v>
      </c>
      <c r="G1" s="83"/>
    </row>
    <row r="2" spans="1:7" ht="12" customHeight="1" x14ac:dyDescent="0.2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3" t="s">
        <v>3</v>
      </c>
      <c r="G2" s="3" t="s">
        <v>5</v>
      </c>
    </row>
    <row r="3" spans="1:7" ht="12" customHeight="1" x14ac:dyDescent="0.2">
      <c r="A3" s="4" t="s">
        <v>6</v>
      </c>
      <c r="B3" s="4" t="s">
        <v>7</v>
      </c>
      <c r="C3" s="5" t="s">
        <v>8</v>
      </c>
      <c r="D3" s="6">
        <v>41.2</v>
      </c>
      <c r="E3" s="6">
        <v>55.3</v>
      </c>
      <c r="F3" s="7">
        <v>38.1</v>
      </c>
      <c r="G3" s="7">
        <v>59.7</v>
      </c>
    </row>
    <row r="4" spans="1:7" ht="12" customHeight="1" x14ac:dyDescent="0.2">
      <c r="A4" s="4" t="s">
        <v>9</v>
      </c>
      <c r="B4" s="4" t="s">
        <v>10</v>
      </c>
      <c r="C4" s="5" t="s">
        <v>8</v>
      </c>
      <c r="D4" s="6">
        <v>37.39</v>
      </c>
      <c r="E4" s="6">
        <v>61.8</v>
      </c>
      <c r="F4" s="7">
        <v>38.5</v>
      </c>
      <c r="G4" s="7">
        <v>60.9</v>
      </c>
    </row>
    <row r="5" spans="1:7" ht="12" customHeight="1" x14ac:dyDescent="0.2">
      <c r="A5" s="4" t="s">
        <v>11</v>
      </c>
      <c r="B5" s="4" t="s">
        <v>12</v>
      </c>
      <c r="C5" s="5" t="s">
        <v>8</v>
      </c>
      <c r="D5" s="7">
        <v>36.4</v>
      </c>
      <c r="E5" s="7">
        <v>62.9</v>
      </c>
      <c r="F5" s="7">
        <v>35</v>
      </c>
      <c r="G5" s="7">
        <v>64.5</v>
      </c>
    </row>
    <row r="6" spans="1:7" ht="12" customHeight="1" x14ac:dyDescent="0.2">
      <c r="A6" s="4" t="s">
        <v>13</v>
      </c>
      <c r="B6" s="4" t="s">
        <v>14</v>
      </c>
      <c r="C6" s="5" t="s">
        <v>8</v>
      </c>
      <c r="D6" s="7">
        <v>36.799999999999997</v>
      </c>
      <c r="E6" s="7">
        <v>62.3</v>
      </c>
      <c r="F6" s="7">
        <v>36.6</v>
      </c>
      <c r="G6" s="7">
        <v>62.6</v>
      </c>
    </row>
    <row r="7" spans="1:7" ht="12" customHeight="1" x14ac:dyDescent="0.2">
      <c r="A7" s="4" t="s">
        <v>15</v>
      </c>
      <c r="B7" s="4" t="s">
        <v>16</v>
      </c>
      <c r="C7" s="5" t="s">
        <v>8</v>
      </c>
      <c r="D7" s="7">
        <v>24</v>
      </c>
      <c r="E7" s="7">
        <v>74.8</v>
      </c>
      <c r="F7" s="7">
        <v>25.5</v>
      </c>
      <c r="G7" s="7">
        <v>73.3</v>
      </c>
    </row>
    <row r="8" spans="1:7" ht="12" customHeight="1" x14ac:dyDescent="0.2">
      <c r="A8" s="4" t="s">
        <v>17</v>
      </c>
      <c r="B8" s="4" t="s">
        <v>18</v>
      </c>
      <c r="C8" s="5" t="s">
        <v>8</v>
      </c>
      <c r="D8" s="7">
        <v>34.9</v>
      </c>
      <c r="E8" s="7">
        <v>63.9</v>
      </c>
      <c r="F8" s="7">
        <v>36.299999999999997</v>
      </c>
      <c r="G8" s="7">
        <v>62.6</v>
      </c>
    </row>
    <row r="9" spans="1:7" ht="12" customHeight="1" x14ac:dyDescent="0.2">
      <c r="A9" s="4" t="s">
        <v>19</v>
      </c>
      <c r="B9" s="4" t="s">
        <v>20</v>
      </c>
      <c r="C9" s="5" t="s">
        <v>8</v>
      </c>
      <c r="D9" s="7">
        <v>24.7</v>
      </c>
      <c r="E9" s="7">
        <v>74.3</v>
      </c>
      <c r="F9" s="7">
        <v>25</v>
      </c>
      <c r="G9" s="7">
        <v>74.099999999999994</v>
      </c>
    </row>
    <row r="10" spans="1:7" ht="12" customHeight="1" x14ac:dyDescent="0.2">
      <c r="A10" s="4" t="s">
        <v>21</v>
      </c>
      <c r="B10" s="4" t="s">
        <v>22</v>
      </c>
      <c r="C10" s="8" t="s">
        <v>23</v>
      </c>
      <c r="D10" s="7">
        <v>72.400000000000006</v>
      </c>
      <c r="E10" s="7">
        <v>27.1</v>
      </c>
      <c r="F10" s="7">
        <v>71.5</v>
      </c>
      <c r="G10" s="7">
        <v>28.1</v>
      </c>
    </row>
    <row r="11" spans="1:7" ht="12" customHeight="1" x14ac:dyDescent="0.2">
      <c r="A11" s="4" t="s">
        <v>24</v>
      </c>
      <c r="B11" s="4" t="s">
        <v>25</v>
      </c>
      <c r="C11" s="5" t="s">
        <v>8</v>
      </c>
      <c r="D11" s="6">
        <v>36.299999999999997</v>
      </c>
      <c r="E11" s="6">
        <v>61</v>
      </c>
      <c r="F11" s="7">
        <v>39.200000000000003</v>
      </c>
      <c r="G11" s="7">
        <v>58</v>
      </c>
    </row>
    <row r="12" spans="1:7" ht="12" customHeight="1" x14ac:dyDescent="0.2">
      <c r="A12" s="4" t="s">
        <v>26</v>
      </c>
      <c r="B12" s="4" t="s">
        <v>27</v>
      </c>
      <c r="C12" s="5" t="s">
        <v>8</v>
      </c>
      <c r="D12" s="6">
        <v>42.9</v>
      </c>
      <c r="E12" s="6">
        <v>54.7</v>
      </c>
      <c r="F12" s="7">
        <v>44.3</v>
      </c>
      <c r="G12" s="7">
        <v>53.8</v>
      </c>
    </row>
    <row r="13" spans="1:7" ht="12" customHeight="1" x14ac:dyDescent="0.2">
      <c r="A13" s="4" t="s">
        <v>28</v>
      </c>
      <c r="B13" s="4" t="s">
        <v>29</v>
      </c>
      <c r="C13" s="5" t="s">
        <v>8</v>
      </c>
      <c r="D13" s="6">
        <v>31.6</v>
      </c>
      <c r="E13" s="6">
        <v>65.5</v>
      </c>
      <c r="F13" s="7">
        <v>33.9</v>
      </c>
      <c r="G13" s="7">
        <v>63.7</v>
      </c>
    </row>
    <row r="14" spans="1:7" ht="12" customHeight="1" x14ac:dyDescent="0.2">
      <c r="A14" s="4" t="s">
        <v>30</v>
      </c>
      <c r="B14" s="4" t="s">
        <v>31</v>
      </c>
      <c r="C14" s="5" t="s">
        <v>8</v>
      </c>
      <c r="D14" s="6">
        <v>35.9</v>
      </c>
      <c r="E14" s="6">
        <v>61.8</v>
      </c>
      <c r="F14" s="7">
        <v>37.4</v>
      </c>
      <c r="G14" s="7">
        <v>59.9</v>
      </c>
    </row>
    <row r="15" spans="1:7" ht="12" customHeight="1" x14ac:dyDescent="0.2">
      <c r="A15" s="4" t="s">
        <v>32</v>
      </c>
      <c r="B15" s="4" t="s">
        <v>33</v>
      </c>
      <c r="C15" s="8" t="s">
        <v>23</v>
      </c>
      <c r="D15" s="6">
        <v>47.9</v>
      </c>
      <c r="E15" s="6">
        <v>50.4</v>
      </c>
      <c r="F15" s="7">
        <v>47.8</v>
      </c>
      <c r="G15" s="7">
        <v>51</v>
      </c>
    </row>
    <row r="16" spans="1:7" ht="12" customHeight="1" x14ac:dyDescent="0.2">
      <c r="A16" s="4" t="s">
        <v>34</v>
      </c>
      <c r="B16" s="4" t="s">
        <v>35</v>
      </c>
      <c r="C16" s="5" t="s">
        <v>8</v>
      </c>
      <c r="D16" s="6">
        <v>48.4</v>
      </c>
      <c r="E16" s="6">
        <v>49.9</v>
      </c>
      <c r="F16" s="7">
        <v>48.9</v>
      </c>
      <c r="G16" s="7">
        <v>49.8</v>
      </c>
    </row>
    <row r="17" spans="1:7" ht="12" customHeight="1" x14ac:dyDescent="0.2">
      <c r="A17" s="4" t="s">
        <v>36</v>
      </c>
      <c r="B17" s="4" t="s">
        <v>37</v>
      </c>
      <c r="C17" s="8" t="s">
        <v>23</v>
      </c>
      <c r="D17" s="6">
        <v>61.4</v>
      </c>
      <c r="E17" s="6">
        <v>36.9</v>
      </c>
      <c r="F17" s="7">
        <v>58.2</v>
      </c>
      <c r="G17" s="7">
        <v>40.700000000000003</v>
      </c>
    </row>
    <row r="18" spans="1:7" ht="12" customHeight="1" x14ac:dyDescent="0.2">
      <c r="A18" s="4" t="s">
        <v>38</v>
      </c>
      <c r="B18" s="4" t="s">
        <v>39</v>
      </c>
      <c r="C18" s="5" t="s">
        <v>8</v>
      </c>
      <c r="D18" s="6">
        <v>31</v>
      </c>
      <c r="E18" s="6">
        <v>67.2</v>
      </c>
      <c r="F18" s="7">
        <v>34.4</v>
      </c>
      <c r="G18" s="7">
        <v>64.2</v>
      </c>
    </row>
    <row r="19" spans="1:7" ht="12" customHeight="1" x14ac:dyDescent="0.2">
      <c r="A19" s="4" t="s">
        <v>40</v>
      </c>
      <c r="B19" s="4" t="s">
        <v>41</v>
      </c>
      <c r="C19" s="5" t="s">
        <v>8</v>
      </c>
      <c r="D19" s="6">
        <v>34.6</v>
      </c>
      <c r="E19" s="6">
        <v>63.8</v>
      </c>
      <c r="F19" s="7">
        <v>36.299999999999997</v>
      </c>
      <c r="G19" s="7">
        <v>62.6</v>
      </c>
    </row>
    <row r="20" spans="1:7" ht="12" customHeight="1" x14ac:dyDescent="0.2">
      <c r="A20" s="4" t="s">
        <v>42</v>
      </c>
      <c r="B20" s="4" t="s">
        <v>43</v>
      </c>
      <c r="C20" s="5" t="s">
        <v>8</v>
      </c>
      <c r="D20" s="6">
        <v>38.799999999999997</v>
      </c>
      <c r="E20" s="6">
        <v>59.5</v>
      </c>
      <c r="F20" s="7">
        <v>41.2</v>
      </c>
      <c r="G20" s="7">
        <v>57.7</v>
      </c>
    </row>
    <row r="21" spans="1:7" ht="12" customHeight="1" x14ac:dyDescent="0.2">
      <c r="A21" s="4" t="s">
        <v>44</v>
      </c>
      <c r="B21" s="4" t="s">
        <v>45</v>
      </c>
      <c r="C21" s="8" t="s">
        <v>23</v>
      </c>
      <c r="D21" s="6">
        <v>71.7</v>
      </c>
      <c r="E21" s="6">
        <v>26.5</v>
      </c>
      <c r="F21" s="7">
        <v>64.7</v>
      </c>
      <c r="G21" s="7">
        <v>34.1</v>
      </c>
    </row>
    <row r="22" spans="1:7" ht="12" customHeight="1" x14ac:dyDescent="0.2">
      <c r="A22" s="4" t="s">
        <v>46</v>
      </c>
      <c r="B22" s="4" t="s">
        <v>47</v>
      </c>
      <c r="C22" s="5" t="s">
        <v>8</v>
      </c>
      <c r="D22" s="6">
        <v>36.9</v>
      </c>
      <c r="E22" s="6">
        <v>61.7</v>
      </c>
      <c r="F22" s="7">
        <v>38.4</v>
      </c>
      <c r="G22" s="7">
        <v>60.6</v>
      </c>
    </row>
    <row r="23" spans="1:7" ht="12" customHeight="1" x14ac:dyDescent="0.2">
      <c r="A23" s="4" t="s">
        <v>48</v>
      </c>
      <c r="B23" s="4" t="s">
        <v>49</v>
      </c>
      <c r="C23" s="8" t="s">
        <v>23</v>
      </c>
      <c r="D23" s="6">
        <v>51.1</v>
      </c>
      <c r="E23" s="6">
        <v>46.6</v>
      </c>
      <c r="F23" s="7">
        <v>51.3</v>
      </c>
      <c r="G23" s="7">
        <v>47.4</v>
      </c>
    </row>
    <row r="24" spans="1:7" ht="12" customHeight="1" x14ac:dyDescent="0.2">
      <c r="A24" s="4" t="s">
        <v>50</v>
      </c>
      <c r="B24" s="4" t="s">
        <v>51</v>
      </c>
      <c r="C24" s="5" t="s">
        <v>8</v>
      </c>
      <c r="D24" s="6">
        <v>40.299999999999997</v>
      </c>
      <c r="E24" s="6">
        <v>56.6</v>
      </c>
      <c r="F24" s="9"/>
      <c r="G24" s="9"/>
    </row>
    <row r="25" spans="1:7" ht="12" customHeight="1" x14ac:dyDescent="0.2">
      <c r="A25" s="4" t="s">
        <v>52</v>
      </c>
      <c r="B25" s="4" t="s">
        <v>53</v>
      </c>
      <c r="C25" s="8" t="s">
        <v>23</v>
      </c>
      <c r="D25" s="6">
        <v>69</v>
      </c>
      <c r="E25" s="6">
        <v>27</v>
      </c>
      <c r="F25" s="9"/>
      <c r="G25" s="9"/>
    </row>
    <row r="26" spans="1:7" ht="12" customHeight="1" x14ac:dyDescent="0.2">
      <c r="A26" s="4" t="s">
        <v>54</v>
      </c>
      <c r="B26" s="4" t="s">
        <v>55</v>
      </c>
      <c r="C26" s="8" t="s">
        <v>23</v>
      </c>
      <c r="D26" s="6">
        <v>54.3</v>
      </c>
      <c r="E26" s="6">
        <v>43.1</v>
      </c>
      <c r="F26" s="9"/>
      <c r="G26" s="9"/>
    </row>
    <row r="27" spans="1:7" ht="12" customHeight="1" x14ac:dyDescent="0.2">
      <c r="A27" s="4" t="s">
        <v>56</v>
      </c>
      <c r="B27" s="4" t="s">
        <v>57</v>
      </c>
      <c r="C27" s="5" t="s">
        <v>8</v>
      </c>
      <c r="D27" s="6">
        <v>39.5</v>
      </c>
      <c r="E27" s="6">
        <v>57.9</v>
      </c>
      <c r="F27" s="9"/>
      <c r="G27" s="9"/>
    </row>
    <row r="28" spans="1:7" ht="12" customHeight="1" x14ac:dyDescent="0.2">
      <c r="A28" s="4" t="s">
        <v>58</v>
      </c>
      <c r="B28" s="4" t="s">
        <v>59</v>
      </c>
      <c r="C28" s="8" t="s">
        <v>23</v>
      </c>
      <c r="D28" s="6">
        <v>69.7</v>
      </c>
      <c r="E28" s="6">
        <v>27.5</v>
      </c>
      <c r="F28" s="9"/>
      <c r="G28" s="9"/>
    </row>
    <row r="29" spans="1:7" ht="12" customHeight="1" x14ac:dyDescent="0.2">
      <c r="A29" s="4" t="s">
        <v>60</v>
      </c>
      <c r="B29" s="4" t="s">
        <v>61</v>
      </c>
      <c r="C29" s="8" t="s">
        <v>23</v>
      </c>
      <c r="D29" s="6">
        <v>69.099999999999994</v>
      </c>
      <c r="E29" s="6">
        <v>28.3</v>
      </c>
      <c r="F29" s="9"/>
      <c r="G29" s="9"/>
    </row>
    <row r="30" spans="1:7" ht="12" customHeight="1" x14ac:dyDescent="0.2">
      <c r="A30" s="4" t="s">
        <v>62</v>
      </c>
      <c r="B30" s="4" t="s">
        <v>63</v>
      </c>
      <c r="C30" s="8" t="s">
        <v>23</v>
      </c>
      <c r="D30" s="6">
        <v>50.8</v>
      </c>
      <c r="E30" s="6">
        <v>46.8</v>
      </c>
      <c r="F30" s="9"/>
      <c r="G30" s="9"/>
    </row>
    <row r="31" spans="1:7" ht="12" customHeight="1" x14ac:dyDescent="0.2">
      <c r="A31" s="4" t="s">
        <v>64</v>
      </c>
      <c r="B31" s="4" t="s">
        <v>65</v>
      </c>
      <c r="C31" s="5" t="s">
        <v>8</v>
      </c>
      <c r="D31" s="6">
        <v>41.7</v>
      </c>
      <c r="E31" s="6">
        <v>55.6</v>
      </c>
      <c r="F31" s="9"/>
      <c r="G31" s="9"/>
    </row>
    <row r="32" spans="1:7" ht="12" customHeight="1" x14ac:dyDescent="0.2">
      <c r="A32" s="4" t="s">
        <v>66</v>
      </c>
      <c r="B32" s="4" t="s">
        <v>67</v>
      </c>
      <c r="C32" s="8" t="s">
        <v>23</v>
      </c>
      <c r="D32" s="6">
        <v>57.8</v>
      </c>
      <c r="E32" s="6">
        <v>40.1</v>
      </c>
      <c r="F32" s="9"/>
      <c r="G32" s="9"/>
    </row>
    <row r="33" spans="1:7" ht="12" customHeight="1" x14ac:dyDescent="0.2">
      <c r="A33" s="4" t="s">
        <v>68</v>
      </c>
      <c r="B33" s="4" t="s">
        <v>69</v>
      </c>
      <c r="C33" s="5" t="s">
        <v>8</v>
      </c>
      <c r="D33" s="6">
        <v>50.6</v>
      </c>
      <c r="E33" s="6">
        <v>47</v>
      </c>
      <c r="F33" s="9"/>
      <c r="G33" s="9"/>
    </row>
    <row r="34" spans="1:7" ht="12" customHeight="1" x14ac:dyDescent="0.2">
      <c r="A34" s="4" t="s">
        <v>70</v>
      </c>
      <c r="B34" s="4" t="s">
        <v>71</v>
      </c>
      <c r="C34" s="8" t="s">
        <v>23</v>
      </c>
      <c r="D34" s="6">
        <v>67.599999999999994</v>
      </c>
      <c r="E34" s="6">
        <v>30</v>
      </c>
      <c r="F34" s="9"/>
      <c r="G34" s="9"/>
    </row>
    <row r="35" spans="1:7" ht="12" customHeight="1" x14ac:dyDescent="0.2">
      <c r="A35" s="4" t="s">
        <v>72</v>
      </c>
      <c r="B35" s="4" t="s">
        <v>73</v>
      </c>
      <c r="C35" s="8" t="s">
        <v>23</v>
      </c>
      <c r="D35" s="6">
        <v>84.1</v>
      </c>
      <c r="E35" s="6">
        <v>12.5</v>
      </c>
      <c r="F35" s="9"/>
      <c r="G35" s="9"/>
    </row>
    <row r="36" spans="1:7" ht="12" customHeight="1" x14ac:dyDescent="0.2">
      <c r="A36" s="4" t="s">
        <v>74</v>
      </c>
      <c r="B36" s="4" t="s">
        <v>75</v>
      </c>
      <c r="C36" s="8" t="s">
        <v>23</v>
      </c>
      <c r="D36" s="6">
        <v>87.5</v>
      </c>
      <c r="E36" s="6">
        <v>9</v>
      </c>
      <c r="F36" s="9"/>
      <c r="G36" s="9"/>
    </row>
    <row r="37" spans="1:7" ht="12" customHeight="1" x14ac:dyDescent="0.2">
      <c r="A37" s="4" t="s">
        <v>76</v>
      </c>
      <c r="B37" s="4" t="s">
        <v>77</v>
      </c>
      <c r="C37" s="8" t="s">
        <v>23</v>
      </c>
      <c r="D37" s="6">
        <v>74.2</v>
      </c>
      <c r="E37" s="6">
        <v>23.6</v>
      </c>
      <c r="F37" s="9"/>
      <c r="G37" s="9"/>
    </row>
    <row r="38" spans="1:7" ht="12" customHeight="1" x14ac:dyDescent="0.2">
      <c r="A38" s="4" t="s">
        <v>78</v>
      </c>
      <c r="B38" s="4" t="s">
        <v>79</v>
      </c>
      <c r="C38" s="8" t="s">
        <v>23</v>
      </c>
      <c r="D38" s="6">
        <v>68</v>
      </c>
      <c r="E38" s="6">
        <v>29.8</v>
      </c>
      <c r="F38" s="9"/>
      <c r="G38" s="9"/>
    </row>
    <row r="39" spans="1:7" ht="12" customHeight="1" x14ac:dyDescent="0.2">
      <c r="A39" s="4" t="s">
        <v>80</v>
      </c>
      <c r="B39" s="4" t="s">
        <v>81</v>
      </c>
      <c r="C39" s="8" t="s">
        <v>23</v>
      </c>
      <c r="D39" s="6">
        <v>58.6</v>
      </c>
      <c r="E39" s="6">
        <v>39.4</v>
      </c>
      <c r="F39" s="9"/>
      <c r="G39" s="9"/>
    </row>
    <row r="40" spans="1:7" ht="12" customHeight="1" x14ac:dyDescent="0.2">
      <c r="A40" s="4" t="s">
        <v>82</v>
      </c>
      <c r="B40" s="4" t="s">
        <v>83</v>
      </c>
      <c r="C40" s="8" t="s">
        <v>23</v>
      </c>
      <c r="D40" s="6">
        <v>71.900000000000006</v>
      </c>
      <c r="E40" s="6">
        <v>25.5</v>
      </c>
      <c r="F40" s="9"/>
      <c r="G40" s="9"/>
    </row>
    <row r="41" spans="1:7" ht="12" customHeight="1" x14ac:dyDescent="0.2">
      <c r="A41" s="4" t="s">
        <v>84</v>
      </c>
      <c r="B41" s="4" t="s">
        <v>85</v>
      </c>
      <c r="C41" s="8" t="s">
        <v>23</v>
      </c>
      <c r="D41" s="6">
        <v>68.2</v>
      </c>
      <c r="E41" s="6">
        <v>28.9</v>
      </c>
      <c r="F41" s="9"/>
      <c r="G41" s="9"/>
    </row>
    <row r="42" spans="1:7" ht="12" customHeight="1" x14ac:dyDescent="0.2">
      <c r="A42" s="4" t="s">
        <v>86</v>
      </c>
      <c r="B42" s="4" t="s">
        <v>87</v>
      </c>
      <c r="C42" s="8" t="s">
        <v>23</v>
      </c>
      <c r="D42" s="6">
        <v>71.2</v>
      </c>
      <c r="E42" s="6">
        <v>26.5</v>
      </c>
      <c r="F42" s="9"/>
      <c r="G42" s="9"/>
    </row>
    <row r="43" spans="1:7" ht="12" customHeight="1" x14ac:dyDescent="0.2">
      <c r="A43" s="4" t="s">
        <v>88</v>
      </c>
      <c r="B43" s="4" t="s">
        <v>89</v>
      </c>
      <c r="C43" s="8" t="s">
        <v>23</v>
      </c>
      <c r="D43" s="6">
        <v>70.900000000000006</v>
      </c>
      <c r="E43" s="6">
        <v>26.2</v>
      </c>
      <c r="F43" s="9"/>
      <c r="G43" s="9"/>
    </row>
    <row r="44" spans="1:7" ht="12" customHeight="1" x14ac:dyDescent="0.2">
      <c r="A44" s="4" t="s">
        <v>90</v>
      </c>
      <c r="B44" s="4" t="s">
        <v>91</v>
      </c>
      <c r="C44" s="5" t="s">
        <v>8</v>
      </c>
      <c r="D44" s="6">
        <v>54.6</v>
      </c>
      <c r="E44" s="6">
        <v>43.5</v>
      </c>
      <c r="F44" s="9"/>
      <c r="G44" s="9"/>
    </row>
    <row r="45" spans="1:7" ht="12" customHeight="1" x14ac:dyDescent="0.2">
      <c r="A45" s="4" t="s">
        <v>92</v>
      </c>
      <c r="B45" s="4" t="s">
        <v>93</v>
      </c>
      <c r="C45" s="5" t="s">
        <v>8</v>
      </c>
      <c r="D45" s="6">
        <v>41.6</v>
      </c>
      <c r="E45" s="6">
        <v>56.6</v>
      </c>
      <c r="F45" s="9"/>
      <c r="G45" s="9"/>
    </row>
    <row r="46" spans="1:7" ht="12" customHeight="1" x14ac:dyDescent="0.2">
      <c r="A46" s="4" t="s">
        <v>94</v>
      </c>
      <c r="B46" s="4" t="s">
        <v>95</v>
      </c>
      <c r="C46" s="5" t="s">
        <v>8</v>
      </c>
      <c r="D46" s="6">
        <v>36.1</v>
      </c>
      <c r="E46" s="6">
        <v>61.5</v>
      </c>
      <c r="F46" s="9"/>
      <c r="G46" s="9"/>
    </row>
    <row r="47" spans="1:7" ht="12" customHeight="1" x14ac:dyDescent="0.2">
      <c r="A47" s="4" t="s">
        <v>96</v>
      </c>
      <c r="B47" s="4" t="s">
        <v>97</v>
      </c>
      <c r="C47" s="8" t="s">
        <v>23</v>
      </c>
      <c r="D47" s="6">
        <v>54.1</v>
      </c>
      <c r="E47" s="6">
        <v>43.1</v>
      </c>
      <c r="F47" s="9"/>
      <c r="G47" s="9"/>
    </row>
    <row r="48" spans="1:7" ht="12" customHeight="1" x14ac:dyDescent="0.2">
      <c r="A48" s="4" t="s">
        <v>98</v>
      </c>
      <c r="B48" s="4" t="s">
        <v>99</v>
      </c>
      <c r="C48" s="5" t="s">
        <v>8</v>
      </c>
      <c r="D48" s="6">
        <v>47.8</v>
      </c>
      <c r="E48" s="6">
        <v>49.7</v>
      </c>
      <c r="F48" s="9"/>
      <c r="G48" s="9"/>
    </row>
    <row r="49" spans="1:7" ht="12" customHeight="1" x14ac:dyDescent="0.2">
      <c r="A49" s="4" t="s">
        <v>100</v>
      </c>
      <c r="B49" s="4" t="s">
        <v>101</v>
      </c>
      <c r="C49" s="8" t="s">
        <v>23</v>
      </c>
      <c r="D49" s="6">
        <v>54</v>
      </c>
      <c r="E49" s="6">
        <v>43.7</v>
      </c>
      <c r="F49" s="9"/>
      <c r="G49" s="9"/>
    </row>
    <row r="50" spans="1:7" ht="12" customHeight="1" x14ac:dyDescent="0.2">
      <c r="A50" s="4" t="s">
        <v>102</v>
      </c>
      <c r="B50" s="4" t="s">
        <v>103</v>
      </c>
      <c r="C50" s="8" t="s">
        <v>23</v>
      </c>
      <c r="D50" s="6">
        <v>62.6</v>
      </c>
      <c r="E50" s="6">
        <v>35</v>
      </c>
      <c r="F50" s="9"/>
      <c r="G50" s="9"/>
    </row>
    <row r="51" spans="1:7" ht="12" customHeight="1" x14ac:dyDescent="0.2">
      <c r="A51" s="4" t="s">
        <v>104</v>
      </c>
      <c r="B51" s="4" t="s">
        <v>105</v>
      </c>
      <c r="C51" s="8" t="s">
        <v>23</v>
      </c>
      <c r="D51" s="6">
        <v>70.3</v>
      </c>
      <c r="E51" s="6">
        <v>26.5</v>
      </c>
      <c r="F51" s="9"/>
      <c r="G51" s="9"/>
    </row>
    <row r="52" spans="1:7" ht="12" customHeight="1" x14ac:dyDescent="0.2">
      <c r="A52" s="4" t="s">
        <v>106</v>
      </c>
      <c r="B52" s="4" t="s">
        <v>107</v>
      </c>
      <c r="C52" s="8" t="s">
        <v>23</v>
      </c>
      <c r="D52" s="6">
        <v>77</v>
      </c>
      <c r="E52" s="6">
        <v>20.5</v>
      </c>
      <c r="F52" s="9"/>
      <c r="G52" s="9"/>
    </row>
    <row r="53" spans="1:7" ht="12" customHeight="1" x14ac:dyDescent="0.2">
      <c r="A53" s="4" t="s">
        <v>108</v>
      </c>
      <c r="B53" s="4" t="s">
        <v>109</v>
      </c>
      <c r="C53" s="8" t="s">
        <v>23</v>
      </c>
      <c r="D53" s="6">
        <v>65.3</v>
      </c>
      <c r="E53" s="6">
        <v>32.1</v>
      </c>
      <c r="F53" s="9"/>
      <c r="G53" s="9"/>
    </row>
    <row r="54" spans="1:7" ht="12" customHeight="1" x14ac:dyDescent="0.2">
      <c r="A54" s="4" t="s">
        <v>110</v>
      </c>
      <c r="B54" s="4" t="s">
        <v>111</v>
      </c>
      <c r="C54" s="8" t="s">
        <v>23</v>
      </c>
      <c r="D54" s="6">
        <v>57.2</v>
      </c>
      <c r="E54" s="6">
        <v>40.6</v>
      </c>
      <c r="F54" s="9"/>
      <c r="G54" s="9"/>
    </row>
    <row r="55" spans="1:7" ht="12" customHeight="1" x14ac:dyDescent="0.2">
      <c r="A55" s="4" t="s">
        <v>112</v>
      </c>
      <c r="B55" s="4" t="s">
        <v>113</v>
      </c>
      <c r="C55" s="8" t="s">
        <v>23</v>
      </c>
      <c r="D55" s="6">
        <v>65.2</v>
      </c>
      <c r="E55" s="6">
        <v>32.5</v>
      </c>
      <c r="F55" s="9"/>
      <c r="G55" s="9"/>
    </row>
    <row r="56" spans="1:7" ht="12" customHeight="1" x14ac:dyDescent="0.2">
      <c r="A56" s="4" t="s">
        <v>114</v>
      </c>
      <c r="B56" s="4" t="s">
        <v>115</v>
      </c>
      <c r="C56" s="8" t="s">
        <v>23</v>
      </c>
      <c r="D56" s="6">
        <v>60.6</v>
      </c>
      <c r="E56" s="6">
        <v>36.799999999999997</v>
      </c>
      <c r="F56" s="9"/>
      <c r="G56" s="9"/>
    </row>
    <row r="57" spans="1:7" ht="12" customHeight="1" x14ac:dyDescent="0.2">
      <c r="A57" s="4" t="s">
        <v>116</v>
      </c>
      <c r="B57" s="4" t="s">
        <v>117</v>
      </c>
      <c r="C57" s="8" t="s">
        <v>23</v>
      </c>
      <c r="D57" s="6">
        <v>83</v>
      </c>
      <c r="E57" s="6">
        <v>14.1</v>
      </c>
      <c r="F57" s="9"/>
      <c r="G57" s="9"/>
    </row>
    <row r="58" spans="1:7" ht="12" customHeight="1" x14ac:dyDescent="0.2">
      <c r="A58" s="4" t="s">
        <v>118</v>
      </c>
      <c r="B58" s="4" t="s">
        <v>119</v>
      </c>
      <c r="C58" s="8" t="s">
        <v>23</v>
      </c>
      <c r="D58" s="6">
        <v>67.400000000000006</v>
      </c>
      <c r="E58" s="6">
        <v>30.6</v>
      </c>
      <c r="F58" s="9"/>
      <c r="G58" s="9"/>
    </row>
    <row r="59" spans="1:7" ht="12" customHeight="1" x14ac:dyDescent="0.2">
      <c r="A59" s="4" t="s">
        <v>120</v>
      </c>
      <c r="B59" s="4" t="s">
        <v>121</v>
      </c>
      <c r="C59" s="8" t="s">
        <v>23</v>
      </c>
      <c r="D59" s="6">
        <v>50.7</v>
      </c>
      <c r="E59" s="6">
        <v>47.5</v>
      </c>
      <c r="F59" s="9"/>
      <c r="G59" s="9"/>
    </row>
    <row r="60" spans="1:7" ht="12" customHeight="1" x14ac:dyDescent="0.2">
      <c r="A60" s="4" t="s">
        <v>122</v>
      </c>
      <c r="B60" s="4" t="s">
        <v>123</v>
      </c>
      <c r="C60" s="8" t="s">
        <v>23</v>
      </c>
      <c r="D60" s="6">
        <v>84.9</v>
      </c>
      <c r="E60" s="6">
        <v>12.7</v>
      </c>
      <c r="F60" s="9"/>
      <c r="G60" s="9"/>
    </row>
    <row r="61" spans="1:7" ht="12" customHeight="1" x14ac:dyDescent="0.2">
      <c r="A61" s="4" t="s">
        <v>124</v>
      </c>
      <c r="B61" s="4" t="s">
        <v>125</v>
      </c>
      <c r="C61" s="8" t="s">
        <v>23</v>
      </c>
      <c r="D61" s="6">
        <v>64.900000000000006</v>
      </c>
      <c r="E61" s="6">
        <v>33</v>
      </c>
      <c r="F61" s="9"/>
      <c r="G61" s="9"/>
    </row>
    <row r="62" spans="1:7" ht="12" customHeight="1" x14ac:dyDescent="0.2">
      <c r="A62" s="4" t="s">
        <v>126</v>
      </c>
      <c r="B62" s="4" t="s">
        <v>127</v>
      </c>
      <c r="C62" s="5" t="s">
        <v>8</v>
      </c>
      <c r="D62" s="6">
        <v>47.1</v>
      </c>
      <c r="E62" s="6">
        <v>50.8</v>
      </c>
      <c r="F62" s="9"/>
      <c r="G62" s="9"/>
    </row>
    <row r="63" spans="1:7" ht="12" customHeight="1" x14ac:dyDescent="0.2">
      <c r="A63" s="4" t="s">
        <v>128</v>
      </c>
      <c r="B63" s="4" t="s">
        <v>129</v>
      </c>
      <c r="C63" s="8" t="s">
        <v>23</v>
      </c>
      <c r="D63" s="6">
        <v>81.5</v>
      </c>
      <c r="E63" s="6">
        <v>16.5</v>
      </c>
      <c r="F63" s="9"/>
      <c r="G63" s="9"/>
    </row>
    <row r="64" spans="1:7" ht="12" customHeight="1" x14ac:dyDescent="0.2">
      <c r="A64" s="4" t="s">
        <v>130</v>
      </c>
      <c r="B64" s="4" t="s">
        <v>131</v>
      </c>
      <c r="C64" s="8" t="s">
        <v>23</v>
      </c>
      <c r="D64" s="6">
        <v>61.5</v>
      </c>
      <c r="E64" s="6">
        <v>36.299999999999997</v>
      </c>
      <c r="F64" s="9"/>
      <c r="G64" s="9"/>
    </row>
    <row r="65" spans="1:7" ht="12" customHeight="1" x14ac:dyDescent="0.2">
      <c r="A65" s="4" t="s">
        <v>132</v>
      </c>
      <c r="B65" s="4" t="s">
        <v>133</v>
      </c>
      <c r="C65" s="5" t="s">
        <v>8</v>
      </c>
      <c r="D65" s="6">
        <v>41.4</v>
      </c>
      <c r="E65" s="6">
        <v>56.5</v>
      </c>
      <c r="F65" s="9"/>
      <c r="G65" s="9"/>
    </row>
    <row r="66" spans="1:7" ht="12" customHeight="1" x14ac:dyDescent="0.2">
      <c r="A66" s="4" t="s">
        <v>134</v>
      </c>
      <c r="B66" s="4" t="s">
        <v>135</v>
      </c>
      <c r="C66" s="8" t="s">
        <v>23</v>
      </c>
      <c r="D66" s="6">
        <v>78</v>
      </c>
      <c r="E66" s="6">
        <v>20</v>
      </c>
      <c r="F66" s="9"/>
      <c r="G66" s="9"/>
    </row>
    <row r="67" spans="1:7" ht="12" customHeight="1" x14ac:dyDescent="0.2">
      <c r="A67" s="4" t="s">
        <v>136</v>
      </c>
      <c r="B67" s="10" t="s">
        <v>137</v>
      </c>
      <c r="C67" s="8" t="s">
        <v>23</v>
      </c>
      <c r="D67" s="6">
        <v>84.7</v>
      </c>
      <c r="E67" s="6">
        <v>13.6</v>
      </c>
      <c r="F67" s="9"/>
      <c r="G67" s="9"/>
    </row>
    <row r="68" spans="1:7" ht="12" customHeight="1" x14ac:dyDescent="0.2">
      <c r="A68" s="4" t="s">
        <v>138</v>
      </c>
      <c r="B68" s="4" t="s">
        <v>139</v>
      </c>
      <c r="C68" s="5" t="s">
        <v>8</v>
      </c>
      <c r="D68" s="6">
        <v>43</v>
      </c>
      <c r="E68" s="6">
        <v>54.8</v>
      </c>
      <c r="F68" s="9"/>
      <c r="G68" s="9"/>
    </row>
    <row r="69" spans="1:7" ht="12" customHeight="1" x14ac:dyDescent="0.2">
      <c r="A69" s="4" t="s">
        <v>140</v>
      </c>
      <c r="B69" s="4" t="s">
        <v>141</v>
      </c>
      <c r="C69" s="8" t="s">
        <v>23</v>
      </c>
      <c r="D69" s="6">
        <v>61.4</v>
      </c>
      <c r="E69" s="6">
        <v>36.200000000000003</v>
      </c>
      <c r="F69" s="9"/>
      <c r="G69" s="9"/>
    </row>
    <row r="70" spans="1:7" ht="12" customHeight="1" x14ac:dyDescent="0.2">
      <c r="A70" s="4" t="s">
        <v>142</v>
      </c>
      <c r="B70" s="4" t="s">
        <v>143</v>
      </c>
      <c r="C70" s="8" t="s">
        <v>23</v>
      </c>
      <c r="D70" s="6">
        <v>60</v>
      </c>
      <c r="E70" s="6">
        <v>37.5</v>
      </c>
      <c r="F70" s="9"/>
      <c r="G70" s="9"/>
    </row>
    <row r="71" spans="1:7" ht="12" customHeight="1" x14ac:dyDescent="0.2">
      <c r="A71" s="4" t="s">
        <v>144</v>
      </c>
      <c r="B71" s="4" t="s">
        <v>145</v>
      </c>
      <c r="C71" s="5" t="s">
        <v>8</v>
      </c>
      <c r="D71" s="6">
        <v>43</v>
      </c>
      <c r="E71" s="6">
        <v>54.7</v>
      </c>
      <c r="F71" s="9"/>
      <c r="G71" s="9"/>
    </row>
    <row r="72" spans="1:7" ht="12" customHeight="1" x14ac:dyDescent="0.2">
      <c r="A72" s="4" t="s">
        <v>146</v>
      </c>
      <c r="B72" s="4" t="s">
        <v>147</v>
      </c>
      <c r="C72" s="5" t="s">
        <v>8</v>
      </c>
      <c r="D72" s="6">
        <v>45.7</v>
      </c>
      <c r="E72" s="6">
        <v>52.4</v>
      </c>
      <c r="F72" s="9"/>
      <c r="G72" s="9"/>
    </row>
    <row r="73" spans="1:7" ht="12" customHeight="1" x14ac:dyDescent="0.2">
      <c r="A73" s="4" t="s">
        <v>148</v>
      </c>
      <c r="B73" s="4" t="s">
        <v>149</v>
      </c>
      <c r="C73" s="5" t="s">
        <v>8</v>
      </c>
      <c r="D73" s="6">
        <v>37.6</v>
      </c>
      <c r="E73" s="6">
        <v>60.4</v>
      </c>
      <c r="F73" s="9"/>
      <c r="G73" s="9"/>
    </row>
    <row r="74" spans="1:7" ht="12" customHeight="1" x14ac:dyDescent="0.2">
      <c r="A74" s="4" t="s">
        <v>150</v>
      </c>
      <c r="B74" s="4" t="s">
        <v>151</v>
      </c>
      <c r="C74" s="8" t="s">
        <v>23</v>
      </c>
      <c r="D74" s="6">
        <v>69.400000000000006</v>
      </c>
      <c r="E74" s="6">
        <v>28.9</v>
      </c>
      <c r="F74" s="9"/>
      <c r="G74" s="9"/>
    </row>
    <row r="75" spans="1:7" ht="12" customHeight="1" x14ac:dyDescent="0.2">
      <c r="A75" s="4" t="s">
        <v>152</v>
      </c>
      <c r="B75" s="4" t="s">
        <v>153</v>
      </c>
      <c r="C75" s="8" t="s">
        <v>23</v>
      </c>
      <c r="D75" s="6">
        <v>52.1</v>
      </c>
      <c r="E75" s="6">
        <v>45.7</v>
      </c>
      <c r="F75" s="9"/>
      <c r="G75" s="9"/>
    </row>
    <row r="76" spans="1:7" ht="12" customHeight="1" x14ac:dyDescent="0.2">
      <c r="A76" s="4" t="s">
        <v>154</v>
      </c>
      <c r="B76" s="4" t="s">
        <v>155</v>
      </c>
      <c r="C76" s="8" t="s">
        <v>23</v>
      </c>
      <c r="D76" s="6">
        <v>61.4</v>
      </c>
      <c r="E76" s="6">
        <v>36.4</v>
      </c>
      <c r="F76" s="9"/>
      <c r="G76" s="9"/>
    </row>
    <row r="77" spans="1:7" ht="12" customHeight="1" x14ac:dyDescent="0.2">
      <c r="A77" s="4" t="s">
        <v>156</v>
      </c>
      <c r="B77" s="4" t="s">
        <v>157</v>
      </c>
      <c r="C77" s="8" t="s">
        <v>23</v>
      </c>
      <c r="D77" s="6">
        <v>69</v>
      </c>
      <c r="E77" s="6">
        <v>28.8</v>
      </c>
      <c r="F77" s="7">
        <v>70.900000000000006</v>
      </c>
      <c r="G77" s="7">
        <v>27.6</v>
      </c>
    </row>
    <row r="78" spans="1:7" ht="12" customHeight="1" x14ac:dyDescent="0.2">
      <c r="A78" s="4" t="s">
        <v>158</v>
      </c>
      <c r="B78" s="4" t="s">
        <v>159</v>
      </c>
      <c r="C78" s="8" t="s">
        <v>23</v>
      </c>
      <c r="D78" s="6">
        <v>57.9</v>
      </c>
      <c r="E78" s="6">
        <v>39.5</v>
      </c>
      <c r="F78" s="7">
        <v>61.2</v>
      </c>
      <c r="G78" s="7">
        <v>37.200000000000003</v>
      </c>
    </row>
    <row r="79" spans="1:7" ht="12" customHeight="1" x14ac:dyDescent="0.2">
      <c r="A79" s="4" t="s">
        <v>160</v>
      </c>
      <c r="B79" s="4" t="s">
        <v>161</v>
      </c>
      <c r="C79" s="5" t="s">
        <v>8</v>
      </c>
      <c r="D79" s="6">
        <v>45.8</v>
      </c>
      <c r="E79" s="6">
        <v>51.8</v>
      </c>
      <c r="F79" s="7">
        <v>48.4</v>
      </c>
      <c r="G79" s="7">
        <v>49.9</v>
      </c>
    </row>
    <row r="80" spans="1:7" ht="12" customHeight="1" x14ac:dyDescent="0.2">
      <c r="A80" s="4" t="s">
        <v>162</v>
      </c>
      <c r="B80" s="4" t="s">
        <v>163</v>
      </c>
      <c r="C80" s="5" t="s">
        <v>8</v>
      </c>
      <c r="D80" s="6">
        <v>39.200000000000003</v>
      </c>
      <c r="E80" s="6">
        <v>58.5</v>
      </c>
      <c r="F80" s="7">
        <v>41.9</v>
      </c>
      <c r="G80" s="7">
        <v>56.4</v>
      </c>
    </row>
    <row r="81" spans="1:7" ht="12" customHeight="1" x14ac:dyDescent="0.2">
      <c r="A81" s="4" t="s">
        <v>164</v>
      </c>
      <c r="B81" s="4" t="s">
        <v>165</v>
      </c>
      <c r="C81" s="5" t="s">
        <v>8</v>
      </c>
      <c r="D81" s="6">
        <v>38.299999999999997</v>
      </c>
      <c r="E81" s="6">
        <v>59.1</v>
      </c>
      <c r="F81" s="7">
        <v>39.700000000000003</v>
      </c>
      <c r="G81" s="7">
        <v>58.8</v>
      </c>
    </row>
    <row r="82" spans="1:7" ht="12" customHeight="1" x14ac:dyDescent="0.2">
      <c r="A82" s="4" t="s">
        <v>166</v>
      </c>
      <c r="B82" s="4" t="s">
        <v>167</v>
      </c>
      <c r="C82" s="5" t="s">
        <v>8</v>
      </c>
      <c r="D82" s="6">
        <v>51.6</v>
      </c>
      <c r="E82" s="6">
        <v>46.5</v>
      </c>
      <c r="F82" s="7">
        <v>53.6</v>
      </c>
      <c r="G82" s="7">
        <v>44.9</v>
      </c>
    </row>
    <row r="83" spans="1:7" ht="12" customHeight="1" x14ac:dyDescent="0.2">
      <c r="A83" s="4" t="s">
        <v>168</v>
      </c>
      <c r="B83" s="4" t="s">
        <v>169</v>
      </c>
      <c r="C83" s="8" t="s">
        <v>23</v>
      </c>
      <c r="D83" s="6">
        <v>56.1</v>
      </c>
      <c r="E83" s="6">
        <v>41.3</v>
      </c>
      <c r="F83" s="7">
        <v>57.4</v>
      </c>
      <c r="G83" s="7">
        <v>40.700000000000003</v>
      </c>
    </row>
    <row r="84" spans="1:7" ht="12" customHeight="1" x14ac:dyDescent="0.2">
      <c r="A84" s="4" t="s">
        <v>170</v>
      </c>
      <c r="B84" s="4" t="s">
        <v>171</v>
      </c>
      <c r="C84" s="8" t="s">
        <v>23</v>
      </c>
      <c r="D84" s="6">
        <v>63.3</v>
      </c>
      <c r="E84" s="6">
        <v>35.6</v>
      </c>
      <c r="F84" s="7">
        <v>65.8</v>
      </c>
      <c r="G84" s="7">
        <v>32.9</v>
      </c>
    </row>
    <row r="85" spans="1:7" ht="12" customHeight="1" x14ac:dyDescent="0.2">
      <c r="A85" s="4" t="s">
        <v>172</v>
      </c>
      <c r="B85" s="4" t="s">
        <v>173</v>
      </c>
      <c r="C85" s="8" t="s">
        <v>23</v>
      </c>
      <c r="D85" s="6">
        <v>55.9</v>
      </c>
      <c r="E85" s="6">
        <v>42.6</v>
      </c>
      <c r="F85" s="7">
        <v>58.6</v>
      </c>
      <c r="G85" s="7">
        <v>40</v>
      </c>
    </row>
    <row r="86" spans="1:7" ht="12" customHeight="1" x14ac:dyDescent="0.2">
      <c r="A86" s="4" t="s">
        <v>174</v>
      </c>
      <c r="B86" s="4" t="s">
        <v>175</v>
      </c>
      <c r="C86" s="8" t="s">
        <v>23</v>
      </c>
      <c r="D86" s="6">
        <v>62.6</v>
      </c>
      <c r="E86" s="6">
        <v>36.299999999999997</v>
      </c>
      <c r="F86" s="7">
        <v>62.6</v>
      </c>
      <c r="G86" s="7">
        <v>36.200000000000003</v>
      </c>
    </row>
    <row r="87" spans="1:7" ht="12" customHeight="1" x14ac:dyDescent="0.2">
      <c r="A87" s="4" t="s">
        <v>176</v>
      </c>
      <c r="B87" s="4" t="s">
        <v>177</v>
      </c>
      <c r="C87" s="8" t="s">
        <v>23</v>
      </c>
      <c r="D87" s="6">
        <v>55.1</v>
      </c>
      <c r="E87" s="6">
        <v>44</v>
      </c>
      <c r="F87" s="7">
        <v>59.6</v>
      </c>
      <c r="G87" s="7">
        <v>39.700000000000003</v>
      </c>
    </row>
    <row r="88" spans="1:7" ht="12" customHeight="1" x14ac:dyDescent="0.2">
      <c r="A88" s="4" t="s">
        <v>178</v>
      </c>
      <c r="B88" s="4" t="s">
        <v>179</v>
      </c>
      <c r="C88" s="8" t="s">
        <v>23</v>
      </c>
      <c r="D88" s="6">
        <v>53.5</v>
      </c>
      <c r="E88" s="6">
        <v>45.3</v>
      </c>
      <c r="F88" s="7">
        <v>56.4</v>
      </c>
      <c r="G88" s="7">
        <v>42.4</v>
      </c>
    </row>
    <row r="89" spans="1:7" ht="12" customHeight="1" x14ac:dyDescent="0.2">
      <c r="A89" s="4" t="s">
        <v>180</v>
      </c>
      <c r="B89" s="4" t="s">
        <v>181</v>
      </c>
      <c r="C89" s="8" t="s">
        <v>23</v>
      </c>
      <c r="D89" s="6">
        <v>58.6</v>
      </c>
      <c r="E89" s="6">
        <v>40</v>
      </c>
      <c r="F89" s="7">
        <v>61.9</v>
      </c>
      <c r="G89" s="7">
        <v>36.9</v>
      </c>
    </row>
    <row r="90" spans="1:7" ht="12" customHeight="1" x14ac:dyDescent="0.2">
      <c r="A90" s="4" t="s">
        <v>182</v>
      </c>
      <c r="B90" s="4" t="s">
        <v>183</v>
      </c>
      <c r="C90" s="5" t="s">
        <v>8</v>
      </c>
      <c r="D90" s="6">
        <v>30.2</v>
      </c>
      <c r="E90" s="6">
        <v>68.7</v>
      </c>
      <c r="F90" s="11">
        <v>32.1</v>
      </c>
      <c r="G90" s="11">
        <v>67</v>
      </c>
    </row>
    <row r="91" spans="1:7" ht="12" customHeight="1" x14ac:dyDescent="0.2">
      <c r="A91" s="4" t="s">
        <v>184</v>
      </c>
      <c r="B91" s="4" t="s">
        <v>185</v>
      </c>
      <c r="C91" s="8" t="s">
        <v>23</v>
      </c>
      <c r="D91" s="6">
        <v>46.5</v>
      </c>
      <c r="E91" s="6">
        <v>52.3</v>
      </c>
      <c r="F91" s="11">
        <v>47.1</v>
      </c>
      <c r="G91" s="11">
        <v>52</v>
      </c>
    </row>
    <row r="92" spans="1:7" ht="12" customHeight="1" x14ac:dyDescent="0.2">
      <c r="A92" s="4" t="s">
        <v>186</v>
      </c>
      <c r="B92" s="4" t="s">
        <v>187</v>
      </c>
      <c r="C92" s="5" t="s">
        <v>8</v>
      </c>
      <c r="D92" s="6">
        <v>37.4</v>
      </c>
      <c r="E92" s="6">
        <v>61.5</v>
      </c>
      <c r="F92" s="11">
        <v>39.6</v>
      </c>
      <c r="G92" s="11">
        <v>59.3</v>
      </c>
    </row>
    <row r="93" spans="1:7" ht="12" customHeight="1" x14ac:dyDescent="0.2">
      <c r="A93" s="4" t="s">
        <v>188</v>
      </c>
      <c r="B93" s="4" t="s">
        <v>189</v>
      </c>
      <c r="C93" s="5" t="s">
        <v>8</v>
      </c>
      <c r="D93" s="6">
        <v>35.4</v>
      </c>
      <c r="E93" s="6">
        <v>63.7</v>
      </c>
      <c r="F93" s="11">
        <v>36.6</v>
      </c>
      <c r="G93" s="11">
        <v>62.7</v>
      </c>
    </row>
    <row r="94" spans="1:7" ht="12" customHeight="1" x14ac:dyDescent="0.2">
      <c r="A94" s="4" t="s">
        <v>190</v>
      </c>
      <c r="B94" s="4" t="s">
        <v>191</v>
      </c>
      <c r="C94" s="8" t="s">
        <v>23</v>
      </c>
      <c r="D94" s="6">
        <v>71.2</v>
      </c>
      <c r="E94" s="6">
        <v>28.1</v>
      </c>
      <c r="F94" s="11">
        <v>70.599999999999994</v>
      </c>
      <c r="G94" s="11">
        <v>28.8</v>
      </c>
    </row>
    <row r="95" spans="1:7" ht="12" customHeight="1" x14ac:dyDescent="0.2">
      <c r="A95" s="4" t="s">
        <v>192</v>
      </c>
      <c r="B95" s="4" t="s">
        <v>193</v>
      </c>
      <c r="C95" s="5" t="s">
        <v>8</v>
      </c>
      <c r="D95" s="6">
        <v>41.4</v>
      </c>
      <c r="E95" s="6">
        <v>57.7</v>
      </c>
      <c r="F95" s="11">
        <v>45.6</v>
      </c>
      <c r="G95" s="11">
        <v>53.6</v>
      </c>
    </row>
    <row r="96" spans="1:7" ht="12" customHeight="1" x14ac:dyDescent="0.2">
      <c r="A96" s="4" t="s">
        <v>194</v>
      </c>
      <c r="B96" s="4" t="s">
        <v>195</v>
      </c>
      <c r="C96" s="5" t="s">
        <v>8</v>
      </c>
      <c r="D96" s="6">
        <v>47.1</v>
      </c>
      <c r="E96" s="6">
        <v>51.8</v>
      </c>
      <c r="F96" s="11">
        <v>49.2</v>
      </c>
      <c r="G96" s="11">
        <v>50</v>
      </c>
    </row>
    <row r="97" spans="1:7" ht="12" customHeight="1" x14ac:dyDescent="0.2">
      <c r="A97" s="4" t="s">
        <v>196</v>
      </c>
      <c r="B97" s="4" t="s">
        <v>197</v>
      </c>
      <c r="C97" s="5" t="s">
        <v>8</v>
      </c>
      <c r="D97" s="6">
        <v>42.2</v>
      </c>
      <c r="E97" s="6">
        <v>56.8</v>
      </c>
      <c r="F97" s="11">
        <v>44</v>
      </c>
      <c r="G97" s="11">
        <v>55.1</v>
      </c>
    </row>
    <row r="98" spans="1:7" ht="12" customHeight="1" x14ac:dyDescent="0.2">
      <c r="A98" s="4" t="s">
        <v>198</v>
      </c>
      <c r="B98" s="4" t="s">
        <v>199</v>
      </c>
      <c r="C98" s="8" t="s">
        <v>23</v>
      </c>
      <c r="D98" s="6">
        <v>61.9</v>
      </c>
      <c r="E98" s="6">
        <v>37.200000000000003</v>
      </c>
      <c r="F98" s="11">
        <v>60.3</v>
      </c>
      <c r="G98" s="11">
        <v>39.1</v>
      </c>
    </row>
    <row r="99" spans="1:7" ht="12" customHeight="1" x14ac:dyDescent="0.2">
      <c r="A99" s="4" t="s">
        <v>200</v>
      </c>
      <c r="B99" s="4" t="s">
        <v>201</v>
      </c>
      <c r="C99" s="5" t="s">
        <v>8</v>
      </c>
      <c r="D99" s="6">
        <v>45.7</v>
      </c>
      <c r="E99" s="6">
        <v>53.4</v>
      </c>
      <c r="F99" s="11">
        <v>47.2</v>
      </c>
      <c r="G99" s="11">
        <v>52</v>
      </c>
    </row>
    <row r="100" spans="1:7" ht="12" customHeight="1" x14ac:dyDescent="0.2">
      <c r="A100" s="4" t="s">
        <v>202</v>
      </c>
      <c r="B100" s="4" t="s">
        <v>203</v>
      </c>
      <c r="C100" s="5" t="s">
        <v>8</v>
      </c>
      <c r="D100" s="6">
        <v>40.200000000000003</v>
      </c>
      <c r="E100" s="6">
        <v>58.8</v>
      </c>
      <c r="F100" s="11">
        <v>43.1</v>
      </c>
      <c r="G100" s="11">
        <v>55.9</v>
      </c>
    </row>
    <row r="101" spans="1:7" ht="12" customHeight="1" x14ac:dyDescent="0.2">
      <c r="A101" s="4" t="s">
        <v>204</v>
      </c>
      <c r="B101" s="4" t="s">
        <v>205</v>
      </c>
      <c r="C101" s="5" t="s">
        <v>8</v>
      </c>
      <c r="D101" s="6">
        <v>44.8</v>
      </c>
      <c r="E101" s="6">
        <v>54</v>
      </c>
      <c r="F101" s="11">
        <v>46.8</v>
      </c>
      <c r="G101" s="11">
        <v>52.2</v>
      </c>
    </row>
    <row r="102" spans="1:7" ht="12" customHeight="1" x14ac:dyDescent="0.2">
      <c r="A102" s="4" t="s">
        <v>206</v>
      </c>
      <c r="B102" s="4" t="s">
        <v>207</v>
      </c>
      <c r="C102" s="5" t="s">
        <v>8</v>
      </c>
      <c r="D102" s="6">
        <v>50.1</v>
      </c>
      <c r="E102" s="6">
        <v>48.6</v>
      </c>
      <c r="F102" s="11">
        <v>51.3</v>
      </c>
      <c r="G102" s="11">
        <v>47.5</v>
      </c>
    </row>
    <row r="103" spans="1:7" ht="12" customHeight="1" x14ac:dyDescent="0.2">
      <c r="A103" s="4" t="s">
        <v>208</v>
      </c>
      <c r="B103" s="4" t="s">
        <v>209</v>
      </c>
      <c r="C103" s="8" t="s">
        <v>23</v>
      </c>
      <c r="D103" s="6">
        <v>65.099999999999994</v>
      </c>
      <c r="E103" s="6">
        <v>34</v>
      </c>
      <c r="F103" s="11">
        <v>65.2</v>
      </c>
      <c r="G103" s="11">
        <v>34</v>
      </c>
    </row>
    <row r="104" spans="1:7" ht="12" customHeight="1" x14ac:dyDescent="0.2">
      <c r="A104" s="4" t="s">
        <v>210</v>
      </c>
      <c r="B104" s="4" t="s">
        <v>211</v>
      </c>
      <c r="C104" s="5" t="s">
        <v>8</v>
      </c>
      <c r="D104" s="6">
        <v>45.6</v>
      </c>
      <c r="E104" s="6">
        <v>53.3</v>
      </c>
      <c r="F104" s="11">
        <v>46.1</v>
      </c>
      <c r="G104" s="11">
        <v>53.1</v>
      </c>
    </row>
    <row r="105" spans="1:7" ht="12" customHeight="1" x14ac:dyDescent="0.2">
      <c r="A105" s="4" t="s">
        <v>212</v>
      </c>
      <c r="B105" s="4" t="s">
        <v>213</v>
      </c>
      <c r="C105" s="5" t="s">
        <v>8</v>
      </c>
      <c r="D105" s="6">
        <v>44.9</v>
      </c>
      <c r="E105" s="6">
        <v>54.2</v>
      </c>
      <c r="F105" s="11">
        <v>48.2</v>
      </c>
      <c r="G105" s="11">
        <v>50.9</v>
      </c>
    </row>
    <row r="106" spans="1:7" ht="12" customHeight="1" x14ac:dyDescent="0.2">
      <c r="A106" s="4" t="s">
        <v>214</v>
      </c>
      <c r="B106" s="4" t="s">
        <v>215</v>
      </c>
      <c r="C106" s="5" t="s">
        <v>8</v>
      </c>
      <c r="D106" s="6">
        <v>41.2</v>
      </c>
      <c r="E106" s="6">
        <v>57.9</v>
      </c>
      <c r="F106" s="11">
        <v>43.2</v>
      </c>
      <c r="G106" s="11">
        <v>55.9</v>
      </c>
    </row>
    <row r="107" spans="1:7" ht="12" customHeight="1" x14ac:dyDescent="0.2">
      <c r="A107" s="4" t="s">
        <v>216</v>
      </c>
      <c r="B107" s="10" t="s">
        <v>217</v>
      </c>
      <c r="C107" s="12" t="s">
        <v>23</v>
      </c>
      <c r="D107" s="6">
        <v>47.6</v>
      </c>
      <c r="E107" s="6">
        <v>51.7</v>
      </c>
      <c r="F107" s="11">
        <v>51.2</v>
      </c>
      <c r="G107" s="11">
        <v>48.1</v>
      </c>
    </row>
    <row r="108" spans="1:7" ht="12" customHeight="1" x14ac:dyDescent="0.2">
      <c r="A108" s="4" t="s">
        <v>218</v>
      </c>
      <c r="B108" s="4" t="s">
        <v>219</v>
      </c>
      <c r="C108" s="5" t="s">
        <v>8</v>
      </c>
      <c r="D108" s="6">
        <v>38.799999999999997</v>
      </c>
      <c r="E108" s="6">
        <v>60.6</v>
      </c>
      <c r="F108" s="11">
        <v>42.4</v>
      </c>
      <c r="G108" s="11">
        <v>56.9</v>
      </c>
    </row>
    <row r="109" spans="1:7" ht="12" customHeight="1" x14ac:dyDescent="0.2">
      <c r="A109" s="4" t="s">
        <v>220</v>
      </c>
      <c r="B109" s="4" t="s">
        <v>221</v>
      </c>
      <c r="C109" s="8" t="s">
        <v>23</v>
      </c>
      <c r="D109" s="6">
        <v>82.6</v>
      </c>
      <c r="E109" s="6">
        <v>17</v>
      </c>
      <c r="F109" s="11">
        <v>80.5</v>
      </c>
      <c r="G109" s="11">
        <v>19.100000000000001</v>
      </c>
    </row>
    <row r="110" spans="1:7" ht="12" customHeight="1" x14ac:dyDescent="0.2">
      <c r="A110" s="4" t="s">
        <v>222</v>
      </c>
      <c r="B110" s="4" t="s">
        <v>223</v>
      </c>
      <c r="C110" s="8" t="s">
        <v>23</v>
      </c>
      <c r="D110" s="6">
        <v>60.6</v>
      </c>
      <c r="E110" s="6">
        <v>38.9</v>
      </c>
      <c r="F110" s="11">
        <v>63.6</v>
      </c>
      <c r="G110" s="11">
        <v>35.9</v>
      </c>
    </row>
    <row r="111" spans="1:7" ht="12" customHeight="1" x14ac:dyDescent="0.2">
      <c r="A111" s="4" t="s">
        <v>224</v>
      </c>
      <c r="B111" s="4" t="s">
        <v>225</v>
      </c>
      <c r="C111" s="8" t="s">
        <v>23</v>
      </c>
      <c r="D111" s="6">
        <v>54.4</v>
      </c>
      <c r="E111" s="6">
        <v>44.9</v>
      </c>
      <c r="F111" s="11">
        <v>56.8</v>
      </c>
      <c r="G111" s="11">
        <v>42.6</v>
      </c>
    </row>
    <row r="112" spans="1:7" ht="12" customHeight="1" x14ac:dyDescent="0.2">
      <c r="A112" s="4" t="s">
        <v>226</v>
      </c>
      <c r="B112" s="4" t="s">
        <v>227</v>
      </c>
      <c r="C112" s="8" t="s">
        <v>23</v>
      </c>
      <c r="D112" s="6">
        <v>61.5</v>
      </c>
      <c r="E112" s="6">
        <v>37.9</v>
      </c>
      <c r="F112" s="11">
        <v>61.9</v>
      </c>
      <c r="G112" s="11">
        <v>37.6</v>
      </c>
    </row>
    <row r="113" spans="1:7" ht="12" customHeight="1" x14ac:dyDescent="0.2">
      <c r="A113" s="4" t="s">
        <v>228</v>
      </c>
      <c r="B113" s="4" t="s">
        <v>229</v>
      </c>
      <c r="C113" s="8" t="s">
        <v>23</v>
      </c>
      <c r="D113" s="6">
        <v>87.5</v>
      </c>
      <c r="E113" s="6">
        <v>12.1</v>
      </c>
      <c r="F113" s="11">
        <v>86.2</v>
      </c>
      <c r="G113" s="11">
        <v>13.5</v>
      </c>
    </row>
    <row r="114" spans="1:7" ht="12" customHeight="1" x14ac:dyDescent="0.2">
      <c r="A114" s="4" t="s">
        <v>230</v>
      </c>
      <c r="B114" s="4" t="s">
        <v>231</v>
      </c>
      <c r="C114" s="5" t="s">
        <v>8</v>
      </c>
      <c r="D114" s="6">
        <v>48.7</v>
      </c>
      <c r="E114" s="6">
        <v>50.8</v>
      </c>
      <c r="F114" s="11">
        <v>45.6</v>
      </c>
      <c r="G114" s="11">
        <v>54</v>
      </c>
    </row>
    <row r="115" spans="1:7" ht="12" customHeight="1" x14ac:dyDescent="0.2">
      <c r="A115" s="4" t="s">
        <v>232</v>
      </c>
      <c r="B115" s="4" t="s">
        <v>233</v>
      </c>
      <c r="C115" s="5" t="s">
        <v>8</v>
      </c>
      <c r="D115" s="6">
        <v>53.1</v>
      </c>
      <c r="E115" s="6">
        <v>46.4</v>
      </c>
      <c r="F115" s="11">
        <v>49.6</v>
      </c>
      <c r="G115" s="11">
        <v>50</v>
      </c>
    </row>
    <row r="116" spans="1:7" ht="12" customHeight="1" x14ac:dyDescent="0.2">
      <c r="A116" s="4" t="s">
        <v>234</v>
      </c>
      <c r="B116" s="4" t="s">
        <v>235</v>
      </c>
      <c r="C116" s="5" t="s">
        <v>8</v>
      </c>
      <c r="D116" s="6">
        <v>53.1</v>
      </c>
      <c r="E116" s="6">
        <v>46.4</v>
      </c>
      <c r="F116" s="11">
        <v>48.6</v>
      </c>
      <c r="G116" s="11">
        <v>51</v>
      </c>
    </row>
    <row r="117" spans="1:7" ht="12" customHeight="1" x14ac:dyDescent="0.2">
      <c r="A117" s="4" t="s">
        <v>236</v>
      </c>
      <c r="B117" s="4" t="s">
        <v>237</v>
      </c>
      <c r="C117" s="5" t="s">
        <v>8</v>
      </c>
      <c r="D117" s="6">
        <v>43</v>
      </c>
      <c r="E117" s="6">
        <v>55.9</v>
      </c>
      <c r="F117" s="7">
        <v>44.4</v>
      </c>
      <c r="G117" s="7">
        <v>55</v>
      </c>
    </row>
    <row r="118" spans="1:7" ht="12" customHeight="1" x14ac:dyDescent="0.2">
      <c r="A118" s="4" t="s">
        <v>238</v>
      </c>
      <c r="B118" s="4" t="s">
        <v>239</v>
      </c>
      <c r="C118" s="8" t="s">
        <v>23</v>
      </c>
      <c r="D118" s="6">
        <v>58.6</v>
      </c>
      <c r="E118" s="6">
        <v>40.799999999999997</v>
      </c>
      <c r="F118" s="7">
        <v>57.9</v>
      </c>
      <c r="G118" s="7">
        <v>41.6</v>
      </c>
    </row>
    <row r="119" spans="1:7" ht="12" customHeight="1" x14ac:dyDescent="0.2">
      <c r="A119" s="4" t="s">
        <v>240</v>
      </c>
      <c r="B119" s="4" t="s">
        <v>241</v>
      </c>
      <c r="C119" s="5" t="s">
        <v>8</v>
      </c>
      <c r="D119" s="6">
        <v>33</v>
      </c>
      <c r="E119" s="6">
        <v>65.900000000000006</v>
      </c>
      <c r="F119" s="7">
        <v>34</v>
      </c>
      <c r="G119" s="7">
        <v>65.3</v>
      </c>
    </row>
    <row r="120" spans="1:7" ht="12" customHeight="1" x14ac:dyDescent="0.2">
      <c r="A120" s="4" t="s">
        <v>242</v>
      </c>
      <c r="B120" s="4" t="s">
        <v>243</v>
      </c>
      <c r="C120" s="8" t="s">
        <v>23</v>
      </c>
      <c r="D120" s="6">
        <v>73.599999999999994</v>
      </c>
      <c r="E120" s="6">
        <v>25.6</v>
      </c>
      <c r="F120" s="7">
        <v>73.2</v>
      </c>
      <c r="G120" s="7">
        <v>26.3</v>
      </c>
    </row>
    <row r="121" spans="1:7" ht="12" customHeight="1" x14ac:dyDescent="0.2">
      <c r="A121" s="4" t="s">
        <v>244</v>
      </c>
      <c r="B121" s="4" t="s">
        <v>245</v>
      </c>
      <c r="C121" s="8" t="s">
        <v>23</v>
      </c>
      <c r="D121" s="6">
        <v>83.1</v>
      </c>
      <c r="E121" s="6">
        <v>15.8</v>
      </c>
      <c r="F121" s="7">
        <v>84.4</v>
      </c>
      <c r="G121" s="7">
        <v>15</v>
      </c>
    </row>
    <row r="122" spans="1:7" ht="12" customHeight="1" x14ac:dyDescent="0.2">
      <c r="A122" s="4" t="s">
        <v>246</v>
      </c>
      <c r="B122" s="4" t="s">
        <v>247</v>
      </c>
      <c r="C122" s="5" t="s">
        <v>8</v>
      </c>
      <c r="D122" s="6">
        <v>37.5</v>
      </c>
      <c r="E122" s="6">
        <v>60.8</v>
      </c>
      <c r="F122" s="7">
        <v>40.1</v>
      </c>
      <c r="G122" s="7">
        <v>59</v>
      </c>
    </row>
    <row r="123" spans="1:7" ht="12" customHeight="1" x14ac:dyDescent="0.2">
      <c r="A123" s="4" t="s">
        <v>248</v>
      </c>
      <c r="B123" s="4" t="s">
        <v>249</v>
      </c>
      <c r="C123" s="5" t="s">
        <v>8</v>
      </c>
      <c r="D123" s="6">
        <v>38.299999999999997</v>
      </c>
      <c r="E123" s="6">
        <v>60.2</v>
      </c>
      <c r="F123" s="7">
        <v>39.1</v>
      </c>
      <c r="G123" s="7">
        <v>60.1</v>
      </c>
    </row>
    <row r="124" spans="1:7" ht="12" customHeight="1" x14ac:dyDescent="0.2">
      <c r="A124" s="4" t="s">
        <v>250</v>
      </c>
      <c r="B124" s="4" t="s">
        <v>251</v>
      </c>
      <c r="C124" s="5" t="s">
        <v>8</v>
      </c>
      <c r="D124" s="6">
        <v>37.5</v>
      </c>
      <c r="E124" s="6">
        <v>61.6</v>
      </c>
      <c r="F124" s="7">
        <v>37.799999999999997</v>
      </c>
      <c r="G124" s="7">
        <v>61.6</v>
      </c>
    </row>
    <row r="125" spans="1:7" ht="12" customHeight="1" x14ac:dyDescent="0.2">
      <c r="A125" s="4" t="s">
        <v>252</v>
      </c>
      <c r="B125" s="4" t="s">
        <v>253</v>
      </c>
      <c r="C125" s="5" t="s">
        <v>8</v>
      </c>
      <c r="D125" s="6">
        <v>20.5</v>
      </c>
      <c r="E125" s="6">
        <v>78.099999999999994</v>
      </c>
      <c r="F125" s="7">
        <v>24.3</v>
      </c>
      <c r="G125" s="7">
        <v>74.7</v>
      </c>
    </row>
    <row r="126" spans="1:7" ht="12" customHeight="1" x14ac:dyDescent="0.2">
      <c r="A126" s="4" t="s">
        <v>254</v>
      </c>
      <c r="B126" s="4" t="s">
        <v>255</v>
      </c>
      <c r="C126" s="5" t="s">
        <v>8</v>
      </c>
      <c r="D126" s="6">
        <v>36.299999999999997</v>
      </c>
      <c r="E126" s="6">
        <v>62.5</v>
      </c>
      <c r="F126" s="7">
        <v>38.799999999999997</v>
      </c>
      <c r="G126" s="7">
        <v>60.4</v>
      </c>
    </row>
    <row r="127" spans="1:7" ht="12" customHeight="1" x14ac:dyDescent="0.2">
      <c r="A127" s="4" t="s">
        <v>256</v>
      </c>
      <c r="B127" s="4" t="s">
        <v>257</v>
      </c>
      <c r="C127" s="5" t="s">
        <v>8</v>
      </c>
      <c r="D127" s="6">
        <v>31.5</v>
      </c>
      <c r="E127" s="6">
        <v>66.900000000000006</v>
      </c>
      <c r="F127" s="7">
        <v>34.700000000000003</v>
      </c>
      <c r="G127" s="7">
        <v>64.3</v>
      </c>
    </row>
    <row r="128" spans="1:7" ht="12" customHeight="1" x14ac:dyDescent="0.2">
      <c r="A128" s="4" t="s">
        <v>258</v>
      </c>
      <c r="B128" s="4" t="s">
        <v>259</v>
      </c>
      <c r="C128" s="5" t="s">
        <v>8</v>
      </c>
      <c r="D128" s="6">
        <v>43.6</v>
      </c>
      <c r="E128" s="6">
        <v>55.4</v>
      </c>
      <c r="F128" s="7">
        <v>43.9</v>
      </c>
      <c r="G128" s="7">
        <v>55.6</v>
      </c>
    </row>
    <row r="129" spans="1:7" ht="12" customHeight="1" x14ac:dyDescent="0.2">
      <c r="A129" s="4" t="s">
        <v>260</v>
      </c>
      <c r="B129" s="4" t="s">
        <v>261</v>
      </c>
      <c r="C129" s="8" t="s">
        <v>23</v>
      </c>
      <c r="D129" s="6">
        <v>69.2</v>
      </c>
      <c r="E129" s="6">
        <v>30</v>
      </c>
      <c r="F129" s="7">
        <v>67.099999999999994</v>
      </c>
      <c r="G129" s="7">
        <v>32.299999999999997</v>
      </c>
    </row>
    <row r="130" spans="1:7" ht="12" customHeight="1" x14ac:dyDescent="0.2">
      <c r="A130" s="4" t="s">
        <v>262</v>
      </c>
      <c r="B130" s="4" t="s">
        <v>263</v>
      </c>
      <c r="C130" s="5" t="s">
        <v>8</v>
      </c>
      <c r="D130" s="6">
        <v>25.3</v>
      </c>
      <c r="E130" s="6">
        <v>73.2</v>
      </c>
      <c r="F130" s="7">
        <v>27.8</v>
      </c>
      <c r="G130" s="7">
        <v>71</v>
      </c>
    </row>
    <row r="131" spans="1:7" ht="12" customHeight="1" x14ac:dyDescent="0.2">
      <c r="A131" s="4" t="s">
        <v>264</v>
      </c>
      <c r="B131" s="4" t="s">
        <v>265</v>
      </c>
      <c r="C131" s="8" t="s">
        <v>23</v>
      </c>
      <c r="D131" s="6">
        <v>69.7</v>
      </c>
      <c r="E131" s="6">
        <v>29</v>
      </c>
      <c r="F131" s="7">
        <v>70.3</v>
      </c>
      <c r="G131" s="7">
        <v>28.3</v>
      </c>
    </row>
    <row r="132" spans="1:7" ht="12" customHeight="1" x14ac:dyDescent="0.2">
      <c r="A132" s="4" t="s">
        <v>266</v>
      </c>
      <c r="B132" s="4" t="s">
        <v>267</v>
      </c>
      <c r="C132" s="8" t="s">
        <v>23</v>
      </c>
      <c r="D132" s="6">
        <v>71.400000000000006</v>
      </c>
      <c r="E132" s="6">
        <v>26.7</v>
      </c>
      <c r="F132" s="7">
        <v>73.400000000000006</v>
      </c>
      <c r="G132" s="7">
        <v>24.9</v>
      </c>
    </row>
    <row r="133" spans="1:7" ht="12" customHeight="1" x14ac:dyDescent="0.2">
      <c r="A133" s="4" t="s">
        <v>268</v>
      </c>
      <c r="B133" s="4" t="s">
        <v>269</v>
      </c>
      <c r="C133" s="5" t="s">
        <v>8</v>
      </c>
      <c r="D133" s="6">
        <v>56.2</v>
      </c>
      <c r="E133" s="6">
        <v>42.5</v>
      </c>
      <c r="F133" s="7">
        <v>58.5</v>
      </c>
      <c r="G133" s="7">
        <v>40.4</v>
      </c>
    </row>
    <row r="134" spans="1:7" ht="12" customHeight="1" x14ac:dyDescent="0.2">
      <c r="A134" s="4" t="s">
        <v>270</v>
      </c>
      <c r="B134" s="4" t="s">
        <v>271</v>
      </c>
      <c r="C134" s="8" t="s">
        <v>23</v>
      </c>
      <c r="D134" s="6">
        <v>55.8</v>
      </c>
      <c r="E134" s="6">
        <v>42.7</v>
      </c>
      <c r="F134" s="7">
        <v>57.1</v>
      </c>
      <c r="G134" s="7">
        <v>41.6</v>
      </c>
    </row>
    <row r="135" spans="1:7" ht="12" customHeight="1" x14ac:dyDescent="0.2">
      <c r="A135" s="4" t="s">
        <v>272</v>
      </c>
      <c r="B135" s="4" t="s">
        <v>273</v>
      </c>
      <c r="C135" s="5" t="s">
        <v>8</v>
      </c>
      <c r="D135" s="6">
        <v>51.4</v>
      </c>
      <c r="E135" s="6">
        <v>47.2</v>
      </c>
      <c r="F135" s="7">
        <v>52.4</v>
      </c>
      <c r="G135" s="7">
        <v>46.3</v>
      </c>
    </row>
    <row r="136" spans="1:7" ht="12" customHeight="1" x14ac:dyDescent="0.2">
      <c r="A136" s="4" t="s">
        <v>274</v>
      </c>
      <c r="B136" s="4" t="s">
        <v>275</v>
      </c>
      <c r="C136" s="5" t="s">
        <v>8</v>
      </c>
      <c r="D136" s="6">
        <v>45.3</v>
      </c>
      <c r="E136" s="6">
        <v>53.4</v>
      </c>
      <c r="F136" s="7">
        <v>48.5</v>
      </c>
      <c r="G136" s="7">
        <v>50.2</v>
      </c>
    </row>
    <row r="137" spans="1:7" ht="12" customHeight="1" x14ac:dyDescent="0.2">
      <c r="A137" s="4" t="s">
        <v>276</v>
      </c>
      <c r="B137" s="4" t="s">
        <v>277</v>
      </c>
      <c r="C137" s="5" t="s">
        <v>8</v>
      </c>
      <c r="D137" s="6">
        <v>32.200000000000003</v>
      </c>
      <c r="E137" s="6">
        <v>64.900000000000006</v>
      </c>
      <c r="F137" s="7">
        <v>35.1</v>
      </c>
      <c r="G137" s="7">
        <v>62.5</v>
      </c>
    </row>
    <row r="138" spans="1:7" ht="12" customHeight="1" x14ac:dyDescent="0.2">
      <c r="A138" s="4" t="s">
        <v>278</v>
      </c>
      <c r="B138" s="4" t="s">
        <v>279</v>
      </c>
      <c r="C138" s="5" t="s">
        <v>8</v>
      </c>
      <c r="D138" s="6">
        <v>33.1</v>
      </c>
      <c r="E138" s="6">
        <v>64.099999999999994</v>
      </c>
      <c r="F138" s="7">
        <v>37.1</v>
      </c>
      <c r="G138" s="7">
        <v>60.5</v>
      </c>
    </row>
    <row r="139" spans="1:7" ht="12" customHeight="1" x14ac:dyDescent="0.2">
      <c r="A139" s="4" t="s">
        <v>280</v>
      </c>
      <c r="B139" s="4" t="s">
        <v>281</v>
      </c>
      <c r="C139" s="8" t="s">
        <v>23</v>
      </c>
      <c r="D139" s="6">
        <v>79</v>
      </c>
      <c r="E139" s="6">
        <v>20.2</v>
      </c>
      <c r="F139" s="7">
        <v>80.8</v>
      </c>
      <c r="G139" s="7">
        <v>18.5</v>
      </c>
    </row>
    <row r="140" spans="1:7" ht="12" customHeight="1" x14ac:dyDescent="0.2">
      <c r="A140" s="4" t="s">
        <v>282</v>
      </c>
      <c r="B140" s="4" t="s">
        <v>283</v>
      </c>
      <c r="C140" s="8" t="s">
        <v>23</v>
      </c>
      <c r="D140" s="6">
        <v>80.7</v>
      </c>
      <c r="E140" s="6">
        <v>18.5</v>
      </c>
      <c r="F140" s="7">
        <v>81.099999999999994</v>
      </c>
      <c r="G140" s="7">
        <v>18.2</v>
      </c>
    </row>
    <row r="141" spans="1:7" ht="12" customHeight="1" x14ac:dyDescent="0.2">
      <c r="A141" s="4" t="s">
        <v>284</v>
      </c>
      <c r="B141" s="4" t="s">
        <v>285</v>
      </c>
      <c r="C141" s="8" t="s">
        <v>23</v>
      </c>
      <c r="D141" s="6">
        <v>55.9</v>
      </c>
      <c r="E141" s="6">
        <v>42.6</v>
      </c>
      <c r="F141" s="7">
        <v>58.3</v>
      </c>
      <c r="G141" s="7">
        <v>40.4</v>
      </c>
    </row>
    <row r="142" spans="1:7" ht="12" customHeight="1" x14ac:dyDescent="0.2">
      <c r="A142" s="4" t="s">
        <v>286</v>
      </c>
      <c r="B142" s="4" t="s">
        <v>287</v>
      </c>
      <c r="C142" s="8" t="s">
        <v>23</v>
      </c>
      <c r="D142" s="6">
        <v>80.900000000000006</v>
      </c>
      <c r="E142" s="6">
        <v>17.100000000000001</v>
      </c>
      <c r="F142" s="7">
        <v>80.5</v>
      </c>
      <c r="G142" s="7">
        <v>18.2</v>
      </c>
    </row>
    <row r="143" spans="1:7" ht="12" customHeight="1" x14ac:dyDescent="0.2">
      <c r="A143" s="4" t="s">
        <v>288</v>
      </c>
      <c r="B143" s="4" t="s">
        <v>289</v>
      </c>
      <c r="C143" s="8" t="s">
        <v>23</v>
      </c>
      <c r="D143" s="6">
        <v>66</v>
      </c>
      <c r="E143" s="6">
        <v>31.8</v>
      </c>
      <c r="F143" s="7">
        <v>69.900000000000006</v>
      </c>
      <c r="G143" s="7">
        <v>28.8</v>
      </c>
    </row>
    <row r="144" spans="1:7" ht="12" customHeight="1" x14ac:dyDescent="0.2">
      <c r="A144" s="4" t="s">
        <v>290</v>
      </c>
      <c r="B144" s="4" t="s">
        <v>291</v>
      </c>
      <c r="C144" s="5" t="s">
        <v>8</v>
      </c>
      <c r="D144" s="6">
        <v>45.1</v>
      </c>
      <c r="E144" s="6">
        <v>53.3</v>
      </c>
      <c r="F144" s="7">
        <v>51.3</v>
      </c>
      <c r="G144" s="7">
        <v>47.3</v>
      </c>
    </row>
    <row r="145" spans="1:7" ht="12" customHeight="1" x14ac:dyDescent="0.2">
      <c r="A145" s="4" t="s">
        <v>292</v>
      </c>
      <c r="B145" s="4" t="s">
        <v>293</v>
      </c>
      <c r="C145" s="8" t="s">
        <v>23</v>
      </c>
      <c r="D145" s="6">
        <v>87.2</v>
      </c>
      <c r="E145" s="6">
        <v>11.8</v>
      </c>
      <c r="F145" s="7">
        <v>89.4</v>
      </c>
      <c r="G145" s="7">
        <v>9.9</v>
      </c>
    </row>
    <row r="146" spans="1:7" ht="12" customHeight="1" x14ac:dyDescent="0.2">
      <c r="A146" s="4" t="s">
        <v>294</v>
      </c>
      <c r="B146" s="4" t="s">
        <v>295</v>
      </c>
      <c r="C146" s="8" t="s">
        <v>23</v>
      </c>
      <c r="D146" s="6">
        <v>57.4</v>
      </c>
      <c r="E146" s="6">
        <v>40.9</v>
      </c>
      <c r="F146" s="7">
        <v>61.5</v>
      </c>
      <c r="G146" s="7">
        <v>37.1</v>
      </c>
    </row>
    <row r="147" spans="1:7" ht="12" customHeight="1" x14ac:dyDescent="0.2">
      <c r="A147" s="4" t="s">
        <v>296</v>
      </c>
      <c r="B147" s="4" t="s">
        <v>297</v>
      </c>
      <c r="C147" s="8" t="s">
        <v>23</v>
      </c>
      <c r="D147" s="6">
        <v>65</v>
      </c>
      <c r="E147" s="6">
        <v>33.299999999999997</v>
      </c>
      <c r="F147" s="7">
        <v>68.599999999999994</v>
      </c>
      <c r="G147" s="7">
        <v>30.3</v>
      </c>
    </row>
    <row r="148" spans="1:7" ht="12" customHeight="1" x14ac:dyDescent="0.2">
      <c r="A148" s="4" t="s">
        <v>298</v>
      </c>
      <c r="B148" s="4" t="s">
        <v>299</v>
      </c>
      <c r="C148" s="5" t="s">
        <v>8</v>
      </c>
      <c r="D148" s="6">
        <v>57.5</v>
      </c>
      <c r="E148" s="6">
        <v>41.1</v>
      </c>
      <c r="F148" s="7">
        <v>63</v>
      </c>
      <c r="G148" s="7">
        <v>35.9</v>
      </c>
    </row>
    <row r="149" spans="1:7" ht="12" customHeight="1" x14ac:dyDescent="0.2">
      <c r="A149" s="4" t="s">
        <v>300</v>
      </c>
      <c r="B149" s="4" t="s">
        <v>301</v>
      </c>
      <c r="C149" s="8" t="s">
        <v>23</v>
      </c>
      <c r="D149" s="6">
        <v>57.8</v>
      </c>
      <c r="E149" s="6">
        <v>40.6</v>
      </c>
      <c r="F149" s="7">
        <v>61.3</v>
      </c>
      <c r="G149" s="7">
        <v>37.5</v>
      </c>
    </row>
    <row r="150" spans="1:7" ht="12" customHeight="1" x14ac:dyDescent="0.2">
      <c r="A150" s="4" t="s">
        <v>302</v>
      </c>
      <c r="B150" s="4" t="s">
        <v>303</v>
      </c>
      <c r="C150" s="5" t="s">
        <v>8</v>
      </c>
      <c r="D150" s="6">
        <v>49.7</v>
      </c>
      <c r="E150" s="6">
        <v>48.2</v>
      </c>
      <c r="F150" s="7">
        <v>54.7</v>
      </c>
      <c r="G150" s="7">
        <v>43.6</v>
      </c>
    </row>
    <row r="151" spans="1:7" ht="12" customHeight="1" x14ac:dyDescent="0.2">
      <c r="A151" s="4" t="s">
        <v>304</v>
      </c>
      <c r="B151" s="4" t="s">
        <v>305</v>
      </c>
      <c r="C151" s="5" t="s">
        <v>8</v>
      </c>
      <c r="D151" s="6">
        <v>48.6</v>
      </c>
      <c r="E151" s="6">
        <v>48.9</v>
      </c>
      <c r="F151" s="7">
        <v>54.6</v>
      </c>
      <c r="G151" s="7">
        <v>43.6</v>
      </c>
    </row>
    <row r="152" spans="1:7" ht="12" customHeight="1" x14ac:dyDescent="0.2">
      <c r="A152" s="4" t="s">
        <v>306</v>
      </c>
      <c r="B152" s="4" t="s">
        <v>307</v>
      </c>
      <c r="C152" s="5" t="s">
        <v>8</v>
      </c>
      <c r="D152" s="6">
        <v>44.2</v>
      </c>
      <c r="E152" s="6">
        <v>54.2</v>
      </c>
      <c r="F152" s="7">
        <v>50.7</v>
      </c>
      <c r="G152" s="7">
        <v>48</v>
      </c>
    </row>
    <row r="153" spans="1:7" ht="12" customHeight="1" x14ac:dyDescent="0.2">
      <c r="A153" s="4" t="s">
        <v>308</v>
      </c>
      <c r="B153" s="4" t="s">
        <v>309</v>
      </c>
      <c r="C153" s="5" t="s">
        <v>8</v>
      </c>
      <c r="D153" s="6">
        <v>34.1</v>
      </c>
      <c r="E153" s="6">
        <v>63.9</v>
      </c>
      <c r="F153" s="7">
        <v>42.8</v>
      </c>
      <c r="G153" s="7">
        <v>55.4</v>
      </c>
    </row>
    <row r="154" spans="1:7" ht="12" customHeight="1" x14ac:dyDescent="0.2">
      <c r="A154" s="4" t="s">
        <v>310</v>
      </c>
      <c r="B154" s="4" t="s">
        <v>311</v>
      </c>
      <c r="C154" s="5" t="s">
        <v>8</v>
      </c>
      <c r="D154" s="6">
        <v>45.2</v>
      </c>
      <c r="E154" s="6">
        <v>52.9</v>
      </c>
      <c r="F154" s="7">
        <v>50</v>
      </c>
      <c r="G154" s="7">
        <v>48.2</v>
      </c>
    </row>
    <row r="155" spans="1:7" ht="12" customHeight="1" x14ac:dyDescent="0.2">
      <c r="A155" s="4" t="s">
        <v>312</v>
      </c>
      <c r="B155" s="4" t="s">
        <v>313</v>
      </c>
      <c r="C155" s="8" t="s">
        <v>23</v>
      </c>
      <c r="D155" s="6">
        <v>57.6</v>
      </c>
      <c r="E155" s="6">
        <v>40.6</v>
      </c>
      <c r="F155" s="7">
        <v>60</v>
      </c>
      <c r="G155" s="7">
        <v>38.5</v>
      </c>
    </row>
    <row r="156" spans="1:7" ht="12" customHeight="1" x14ac:dyDescent="0.2">
      <c r="A156" s="4" t="s">
        <v>314</v>
      </c>
      <c r="B156" s="4" t="s">
        <v>315</v>
      </c>
      <c r="C156" s="5" t="s">
        <v>8</v>
      </c>
      <c r="D156" s="6">
        <v>37.4</v>
      </c>
      <c r="E156" s="6">
        <v>60.7</v>
      </c>
      <c r="F156" s="7">
        <v>44.1</v>
      </c>
      <c r="G156" s="7">
        <v>54.4</v>
      </c>
    </row>
    <row r="157" spans="1:7" ht="12" customHeight="1" x14ac:dyDescent="0.2">
      <c r="A157" s="4" t="s">
        <v>316</v>
      </c>
      <c r="B157" s="4" t="s">
        <v>317</v>
      </c>
      <c r="C157" s="8" t="s">
        <v>23</v>
      </c>
      <c r="D157" s="6">
        <v>61.2</v>
      </c>
      <c r="E157" s="6">
        <v>37.4</v>
      </c>
      <c r="F157" s="7">
        <v>63.3</v>
      </c>
      <c r="G157" s="7">
        <v>35.799999999999997</v>
      </c>
    </row>
    <row r="158" spans="1:7" ht="12" customHeight="1" x14ac:dyDescent="0.2">
      <c r="A158" s="4" t="s">
        <v>318</v>
      </c>
      <c r="B158" s="4" t="s">
        <v>319</v>
      </c>
      <c r="C158" s="5" t="s">
        <v>8</v>
      </c>
      <c r="D158" s="6">
        <v>42.1</v>
      </c>
      <c r="E158" s="6">
        <v>56.1</v>
      </c>
      <c r="F158" s="7">
        <v>49.6</v>
      </c>
      <c r="G158" s="7">
        <v>49.3</v>
      </c>
    </row>
    <row r="159" spans="1:7" ht="12" customHeight="1" x14ac:dyDescent="0.2">
      <c r="A159" s="4" t="s">
        <v>320</v>
      </c>
      <c r="B159" s="4" t="s">
        <v>321</v>
      </c>
      <c r="C159" s="5" t="s">
        <v>8</v>
      </c>
      <c r="D159" s="6">
        <v>35.700000000000003</v>
      </c>
      <c r="E159" s="6">
        <v>62.5</v>
      </c>
      <c r="F159" s="7">
        <v>43</v>
      </c>
      <c r="G159" s="7">
        <v>56</v>
      </c>
    </row>
    <row r="160" spans="1:7" ht="12" customHeight="1" x14ac:dyDescent="0.2">
      <c r="A160" s="4" t="s">
        <v>322</v>
      </c>
      <c r="B160" s="4" t="s">
        <v>323</v>
      </c>
      <c r="C160" s="5" t="s">
        <v>8</v>
      </c>
      <c r="D160" s="6">
        <v>36.9</v>
      </c>
      <c r="E160" s="6">
        <v>60.9</v>
      </c>
      <c r="F160" s="7">
        <v>44.6</v>
      </c>
      <c r="G160" s="7">
        <v>54.2</v>
      </c>
    </row>
    <row r="161" spans="1:7" ht="12" customHeight="1" x14ac:dyDescent="0.2">
      <c r="A161" s="4" t="s">
        <v>324</v>
      </c>
      <c r="B161" s="4" t="s">
        <v>325</v>
      </c>
      <c r="C161" s="5" t="s">
        <v>8</v>
      </c>
      <c r="D161" s="6">
        <v>40.700000000000003</v>
      </c>
      <c r="E161" s="6">
        <v>57.5</v>
      </c>
      <c r="F161" s="7">
        <v>46.6</v>
      </c>
      <c r="G161" s="7">
        <v>52.6</v>
      </c>
    </row>
    <row r="162" spans="1:7" ht="12" customHeight="1" x14ac:dyDescent="0.2">
      <c r="A162" s="4" t="s">
        <v>326</v>
      </c>
      <c r="B162" s="4" t="s">
        <v>327</v>
      </c>
      <c r="C162" s="5" t="s">
        <v>8</v>
      </c>
      <c r="D162" s="6">
        <v>37.299999999999997</v>
      </c>
      <c r="E162" s="6">
        <v>60.4</v>
      </c>
      <c r="F162" s="7">
        <v>43.6</v>
      </c>
      <c r="G162" s="7">
        <v>55</v>
      </c>
    </row>
    <row r="163" spans="1:7" ht="12" customHeight="1" x14ac:dyDescent="0.2">
      <c r="A163" s="4" t="s">
        <v>328</v>
      </c>
      <c r="B163" s="4" t="s">
        <v>329</v>
      </c>
      <c r="C163" s="8" t="s">
        <v>23</v>
      </c>
      <c r="D163" s="6">
        <v>62.9</v>
      </c>
      <c r="E163" s="6">
        <v>35.4</v>
      </c>
      <c r="F163" s="7">
        <v>66.3</v>
      </c>
      <c r="G163" s="7">
        <v>32.799999999999997</v>
      </c>
    </row>
    <row r="164" spans="1:7" ht="12" customHeight="1" x14ac:dyDescent="0.2">
      <c r="A164" s="4" t="s">
        <v>330</v>
      </c>
      <c r="B164" s="4" t="s">
        <v>331</v>
      </c>
      <c r="C164" s="5" t="s">
        <v>8</v>
      </c>
      <c r="D164" s="6">
        <v>39.6</v>
      </c>
      <c r="E164" s="6">
        <v>58.4</v>
      </c>
      <c r="F164" s="7">
        <v>48.1</v>
      </c>
      <c r="G164" s="7">
        <v>50.6</v>
      </c>
    </row>
    <row r="165" spans="1:7" ht="12" customHeight="1" x14ac:dyDescent="0.2">
      <c r="A165" s="4" t="s">
        <v>332</v>
      </c>
      <c r="B165" s="4" t="s">
        <v>333</v>
      </c>
      <c r="C165" s="5" t="s">
        <v>8</v>
      </c>
      <c r="D165" s="6">
        <v>40.700000000000003</v>
      </c>
      <c r="E165" s="6">
        <v>57.2</v>
      </c>
      <c r="F165" s="7">
        <v>46.2</v>
      </c>
      <c r="G165" s="7">
        <v>52.7</v>
      </c>
    </row>
    <row r="166" spans="1:7" ht="12" customHeight="1" x14ac:dyDescent="0.2">
      <c r="A166" s="4" t="s">
        <v>334</v>
      </c>
      <c r="B166" s="4" t="s">
        <v>335</v>
      </c>
      <c r="C166" s="5" t="s">
        <v>8</v>
      </c>
      <c r="D166" s="6">
        <v>27.6</v>
      </c>
      <c r="E166" s="6">
        <v>70.099999999999994</v>
      </c>
      <c r="F166" s="7">
        <v>31</v>
      </c>
      <c r="G166" s="7">
        <v>67.2</v>
      </c>
    </row>
    <row r="167" spans="1:7" ht="12" customHeight="1" x14ac:dyDescent="0.2">
      <c r="A167" s="4" t="s">
        <v>336</v>
      </c>
      <c r="B167" s="4" t="s">
        <v>337</v>
      </c>
      <c r="C167" s="5" t="s">
        <v>8</v>
      </c>
      <c r="D167" s="6">
        <v>42</v>
      </c>
      <c r="E167" s="6">
        <v>55.6</v>
      </c>
      <c r="F167" s="7">
        <v>45.3</v>
      </c>
      <c r="G167" s="7">
        <v>52.8</v>
      </c>
    </row>
    <row r="168" spans="1:7" ht="12" customHeight="1" x14ac:dyDescent="0.2">
      <c r="A168" s="4" t="s">
        <v>338</v>
      </c>
      <c r="B168" s="4" t="s">
        <v>339</v>
      </c>
      <c r="C168" s="5" t="s">
        <v>8</v>
      </c>
      <c r="D168" s="6">
        <v>44.3</v>
      </c>
      <c r="E168" s="6">
        <v>53.8</v>
      </c>
      <c r="F168" s="7">
        <v>48.8</v>
      </c>
      <c r="G168" s="7">
        <v>49.9</v>
      </c>
    </row>
    <row r="169" spans="1:7" ht="12" customHeight="1" x14ac:dyDescent="0.2">
      <c r="A169" s="4" t="s">
        <v>340</v>
      </c>
      <c r="B169" s="4" t="s">
        <v>341</v>
      </c>
      <c r="C169" s="5" t="s">
        <v>8</v>
      </c>
      <c r="D169" s="6">
        <v>36.1</v>
      </c>
      <c r="E169" s="6">
        <v>61.6</v>
      </c>
      <c r="F169" s="7">
        <v>39.5</v>
      </c>
      <c r="G169" s="7">
        <v>58.6</v>
      </c>
    </row>
    <row r="170" spans="1:7" ht="12" customHeight="1" x14ac:dyDescent="0.2">
      <c r="A170" s="4" t="s">
        <v>342</v>
      </c>
      <c r="B170" s="4" t="s">
        <v>343</v>
      </c>
      <c r="C170" s="5" t="s">
        <v>8</v>
      </c>
      <c r="D170" s="6">
        <v>32.1</v>
      </c>
      <c r="E170" s="6">
        <v>66.400000000000006</v>
      </c>
      <c r="F170" s="7">
        <v>36.9</v>
      </c>
      <c r="G170" s="7">
        <v>61.6</v>
      </c>
    </row>
    <row r="171" spans="1:7" ht="12" customHeight="1" x14ac:dyDescent="0.2">
      <c r="A171" s="4" t="s">
        <v>344</v>
      </c>
      <c r="B171" s="4" t="s">
        <v>345</v>
      </c>
      <c r="C171" s="5" t="s">
        <v>8</v>
      </c>
      <c r="D171" s="6">
        <v>35.1</v>
      </c>
      <c r="E171" s="6">
        <v>63.3</v>
      </c>
      <c r="F171" s="7">
        <v>37.200000000000003</v>
      </c>
      <c r="G171" s="7">
        <v>61.5</v>
      </c>
    </row>
    <row r="172" spans="1:7" ht="12" customHeight="1" x14ac:dyDescent="0.2">
      <c r="A172" s="4" t="s">
        <v>346</v>
      </c>
      <c r="B172" s="4" t="s">
        <v>347</v>
      </c>
      <c r="C172" s="8" t="s">
        <v>23</v>
      </c>
      <c r="D172" s="6">
        <v>55.7</v>
      </c>
      <c r="E172" s="6">
        <v>42.8</v>
      </c>
      <c r="F172" s="7">
        <v>56.2</v>
      </c>
      <c r="G172" s="7">
        <v>42.8</v>
      </c>
    </row>
    <row r="173" spans="1:7" ht="12" customHeight="1" x14ac:dyDescent="0.2">
      <c r="A173" s="4" t="s">
        <v>348</v>
      </c>
      <c r="B173" s="4" t="s">
        <v>349</v>
      </c>
      <c r="C173" s="5" t="s">
        <v>8</v>
      </c>
      <c r="D173" s="6">
        <v>34.799999999999997</v>
      </c>
      <c r="E173" s="6">
        <v>63.4</v>
      </c>
      <c r="F173" s="7">
        <v>37</v>
      </c>
      <c r="G173" s="7">
        <v>61.5</v>
      </c>
    </row>
    <row r="174" spans="1:7" ht="12" customHeight="1" x14ac:dyDescent="0.2">
      <c r="A174" s="4" t="s">
        <v>350</v>
      </c>
      <c r="B174" s="4" t="s">
        <v>351</v>
      </c>
      <c r="C174" s="5" t="s">
        <v>8</v>
      </c>
      <c r="D174" s="6">
        <v>23.2</v>
      </c>
      <c r="E174" s="6">
        <v>75</v>
      </c>
      <c r="F174" s="7">
        <v>31.6</v>
      </c>
      <c r="G174" s="7">
        <v>66.599999999999994</v>
      </c>
    </row>
    <row r="175" spans="1:7" ht="12" customHeight="1" x14ac:dyDescent="0.2">
      <c r="A175" s="4" t="s">
        <v>352</v>
      </c>
      <c r="B175" s="4" t="s">
        <v>353</v>
      </c>
      <c r="C175" s="5" t="s">
        <v>8</v>
      </c>
      <c r="D175" s="6">
        <v>42.2</v>
      </c>
      <c r="E175" s="6">
        <v>55.8</v>
      </c>
      <c r="F175" s="7">
        <v>44.8</v>
      </c>
      <c r="G175" s="7">
        <v>53.7</v>
      </c>
    </row>
    <row r="176" spans="1:7" ht="12" customHeight="1" x14ac:dyDescent="0.2">
      <c r="A176" s="4" t="s">
        <v>354</v>
      </c>
      <c r="B176" s="4" t="s">
        <v>355</v>
      </c>
      <c r="C176" s="5" t="s">
        <v>8</v>
      </c>
      <c r="D176" s="6">
        <v>26.9</v>
      </c>
      <c r="E176" s="6">
        <v>70.900000000000006</v>
      </c>
      <c r="F176" s="7">
        <v>25.3</v>
      </c>
      <c r="G176" s="7">
        <v>72.7</v>
      </c>
    </row>
    <row r="177" spans="1:7" ht="12" customHeight="1" x14ac:dyDescent="0.2">
      <c r="A177" s="4" t="s">
        <v>356</v>
      </c>
      <c r="B177" s="4" t="s">
        <v>357</v>
      </c>
      <c r="C177" s="8" t="s">
        <v>23</v>
      </c>
      <c r="D177" s="6">
        <v>75.8</v>
      </c>
      <c r="E177" s="6">
        <v>22.8</v>
      </c>
      <c r="F177" s="7">
        <v>73.400000000000006</v>
      </c>
      <c r="G177" s="7">
        <v>25.4</v>
      </c>
    </row>
    <row r="178" spans="1:7" ht="12" customHeight="1" x14ac:dyDescent="0.2">
      <c r="A178" s="4" t="s">
        <v>358</v>
      </c>
      <c r="B178" s="13" t="s">
        <v>359</v>
      </c>
      <c r="C178" s="5" t="s">
        <v>8</v>
      </c>
      <c r="D178" s="6">
        <v>32.299999999999997</v>
      </c>
      <c r="E178" s="6">
        <v>66.099999999999994</v>
      </c>
      <c r="F178" s="7">
        <v>34.1</v>
      </c>
      <c r="G178" s="7">
        <v>64.2</v>
      </c>
    </row>
    <row r="179" spans="1:7" ht="12" customHeight="1" x14ac:dyDescent="0.2">
      <c r="A179" s="4" t="s">
        <v>360</v>
      </c>
      <c r="B179" s="4" t="s">
        <v>361</v>
      </c>
      <c r="C179" s="5" t="s">
        <v>8</v>
      </c>
      <c r="D179" s="6">
        <v>39.700000000000003</v>
      </c>
      <c r="E179" s="6">
        <v>59</v>
      </c>
      <c r="F179" s="7">
        <v>39.9</v>
      </c>
      <c r="G179" s="7">
        <v>58.9</v>
      </c>
    </row>
    <row r="180" spans="1:7" ht="12" customHeight="1" x14ac:dyDescent="0.2">
      <c r="A180" s="4" t="s">
        <v>362</v>
      </c>
      <c r="B180" s="4" t="s">
        <v>363</v>
      </c>
      <c r="C180" s="5" t="s">
        <v>8</v>
      </c>
      <c r="D180" s="6">
        <v>37.700000000000003</v>
      </c>
      <c r="E180" s="6">
        <v>61</v>
      </c>
      <c r="F180" s="7">
        <v>36.700000000000003</v>
      </c>
      <c r="G180" s="7">
        <v>62</v>
      </c>
    </row>
    <row r="181" spans="1:7" ht="12" customHeight="1" x14ac:dyDescent="0.2">
      <c r="A181" s="4" t="s">
        <v>364</v>
      </c>
      <c r="B181" s="4" t="s">
        <v>365</v>
      </c>
      <c r="C181" s="5" t="s">
        <v>8</v>
      </c>
      <c r="D181" s="6">
        <v>32</v>
      </c>
      <c r="E181" s="6">
        <v>66.099999999999994</v>
      </c>
      <c r="F181" s="7">
        <v>30.9</v>
      </c>
      <c r="G181" s="7">
        <v>67.5</v>
      </c>
    </row>
    <row r="182" spans="1:7" ht="12" customHeight="1" x14ac:dyDescent="0.2">
      <c r="A182" s="4" t="s">
        <v>366</v>
      </c>
      <c r="B182" s="4" t="s">
        <v>367</v>
      </c>
      <c r="C182" s="8" t="s">
        <v>23</v>
      </c>
      <c r="D182" s="7">
        <v>64</v>
      </c>
      <c r="E182" s="7">
        <v>34.299999999999997</v>
      </c>
      <c r="F182" s="7">
        <v>64.099999999999994</v>
      </c>
      <c r="G182" s="7">
        <v>33.700000000000003</v>
      </c>
    </row>
    <row r="183" spans="1:7" ht="12" customHeight="1" x14ac:dyDescent="0.2">
      <c r="A183" s="4" t="s">
        <v>368</v>
      </c>
      <c r="B183" s="4" t="s">
        <v>369</v>
      </c>
      <c r="C183" s="8" t="s">
        <v>23</v>
      </c>
      <c r="D183" s="7">
        <v>58.7</v>
      </c>
      <c r="E183" s="7">
        <v>39.200000000000003</v>
      </c>
      <c r="F183" s="7">
        <v>60.4</v>
      </c>
      <c r="G183" s="7">
        <v>37.5</v>
      </c>
    </row>
    <row r="184" spans="1:7" ht="12" customHeight="1" x14ac:dyDescent="0.2">
      <c r="A184" s="4" t="s">
        <v>370</v>
      </c>
      <c r="B184" s="4" t="s">
        <v>371</v>
      </c>
      <c r="C184" s="8" t="s">
        <v>23</v>
      </c>
      <c r="D184" s="7">
        <v>56.9</v>
      </c>
      <c r="E184" s="7">
        <v>41.4</v>
      </c>
      <c r="F184" s="7">
        <v>58.8</v>
      </c>
      <c r="G184" s="7">
        <v>39.4</v>
      </c>
    </row>
    <row r="185" spans="1:7" ht="12" customHeight="1" x14ac:dyDescent="0.2">
      <c r="A185" s="4" t="s">
        <v>372</v>
      </c>
      <c r="B185" s="4" t="s">
        <v>373</v>
      </c>
      <c r="C185" s="8" t="s">
        <v>23</v>
      </c>
      <c r="D185" s="7">
        <v>57.1</v>
      </c>
      <c r="E185" s="7">
        <v>41.3</v>
      </c>
      <c r="F185" s="7">
        <v>60.4</v>
      </c>
      <c r="G185" s="7">
        <v>37.9</v>
      </c>
    </row>
    <row r="186" spans="1:7" ht="12" customHeight="1" x14ac:dyDescent="0.2">
      <c r="A186" s="4" t="s">
        <v>374</v>
      </c>
      <c r="B186" s="4" t="s">
        <v>375</v>
      </c>
      <c r="C186" s="8" t="s">
        <v>23</v>
      </c>
      <c r="D186" s="7">
        <v>65.2</v>
      </c>
      <c r="E186" s="7">
        <v>33.1</v>
      </c>
      <c r="F186" s="7">
        <v>66.2</v>
      </c>
      <c r="G186" s="7">
        <v>32.1</v>
      </c>
    </row>
    <row r="187" spans="1:7" ht="12" customHeight="1" x14ac:dyDescent="0.2">
      <c r="A187" s="4" t="s">
        <v>376</v>
      </c>
      <c r="B187" s="4" t="s">
        <v>377</v>
      </c>
      <c r="C187" s="8" t="s">
        <v>23</v>
      </c>
      <c r="D187" s="7">
        <v>54.7</v>
      </c>
      <c r="E187" s="7">
        <v>43.9</v>
      </c>
      <c r="F187" s="7">
        <v>56.9</v>
      </c>
      <c r="G187" s="7">
        <v>41.4</v>
      </c>
    </row>
    <row r="188" spans="1:7" ht="12" customHeight="1" x14ac:dyDescent="0.2">
      <c r="A188" s="4" t="s">
        <v>378</v>
      </c>
      <c r="B188" s="4" t="s">
        <v>379</v>
      </c>
      <c r="C188" s="8" t="s">
        <v>23</v>
      </c>
      <c r="D188" s="7">
        <v>82.5</v>
      </c>
      <c r="E188" s="7">
        <v>15.6</v>
      </c>
      <c r="F188" s="7">
        <v>81.900000000000006</v>
      </c>
      <c r="G188" s="7">
        <v>16.7</v>
      </c>
    </row>
    <row r="189" spans="1:7" ht="12" customHeight="1" x14ac:dyDescent="0.2">
      <c r="A189" s="4" t="s">
        <v>380</v>
      </c>
      <c r="B189" s="4" t="s">
        <v>381</v>
      </c>
      <c r="C189" s="8" t="s">
        <v>23</v>
      </c>
      <c r="D189" s="7">
        <v>57.8</v>
      </c>
      <c r="E189" s="7">
        <v>40.799999999999997</v>
      </c>
      <c r="F189" s="7">
        <v>57.9</v>
      </c>
      <c r="G189" s="7">
        <v>40.5</v>
      </c>
    </row>
    <row r="190" spans="1:7" ht="12" customHeight="1" x14ac:dyDescent="0.2">
      <c r="A190" s="4" t="s">
        <v>382</v>
      </c>
      <c r="B190" s="4" t="s">
        <v>383</v>
      </c>
      <c r="C190" s="8" t="s">
        <v>23</v>
      </c>
      <c r="D190" s="7">
        <v>55.5</v>
      </c>
      <c r="E190" s="7">
        <v>43.1</v>
      </c>
      <c r="F190" s="7">
        <v>57.8</v>
      </c>
      <c r="G190" s="7">
        <v>40.6</v>
      </c>
    </row>
    <row r="191" spans="1:7" ht="12" customHeight="1" x14ac:dyDescent="0.2">
      <c r="A191" s="4" t="s">
        <v>384</v>
      </c>
      <c r="B191" s="4" t="s">
        <v>385</v>
      </c>
      <c r="C191" s="5" t="s">
        <v>8</v>
      </c>
      <c r="D191" s="6">
        <v>37.700000000000003</v>
      </c>
      <c r="E191" s="6">
        <v>60.4</v>
      </c>
      <c r="F191" s="7">
        <v>38.4</v>
      </c>
      <c r="G191" s="7">
        <v>59.6</v>
      </c>
    </row>
    <row r="192" spans="1:7" ht="12" customHeight="1" x14ac:dyDescent="0.2">
      <c r="A192" s="4" t="s">
        <v>386</v>
      </c>
      <c r="B192" s="4" t="s">
        <v>387</v>
      </c>
      <c r="C192" s="8" t="s">
        <v>23</v>
      </c>
      <c r="D192" s="6">
        <v>63.1</v>
      </c>
      <c r="E192" s="6">
        <v>35</v>
      </c>
      <c r="F192" s="7">
        <v>60.6</v>
      </c>
      <c r="G192" s="7">
        <v>37.5</v>
      </c>
    </row>
    <row r="193" spans="1:7" ht="12" customHeight="1" x14ac:dyDescent="0.2">
      <c r="A193" s="4" t="s">
        <v>388</v>
      </c>
      <c r="B193" s="4" t="s">
        <v>389</v>
      </c>
      <c r="C193" s="8" t="s">
        <v>23</v>
      </c>
      <c r="D193" s="6">
        <v>60.7</v>
      </c>
      <c r="E193" s="6">
        <v>37.1</v>
      </c>
      <c r="F193" s="7">
        <v>60.1</v>
      </c>
      <c r="G193" s="7">
        <v>38</v>
      </c>
    </row>
    <row r="194" spans="1:7" ht="12" customHeight="1" x14ac:dyDescent="0.2">
      <c r="A194" s="4" t="s">
        <v>390</v>
      </c>
      <c r="B194" s="4" t="s">
        <v>391</v>
      </c>
      <c r="C194" s="8" t="s">
        <v>23</v>
      </c>
      <c r="D194" s="6">
        <v>78.099999999999994</v>
      </c>
      <c r="E194" s="6">
        <v>20.8</v>
      </c>
      <c r="F194" s="7">
        <v>77.3</v>
      </c>
      <c r="G194" s="7">
        <v>21.8</v>
      </c>
    </row>
    <row r="195" spans="1:7" ht="12" customHeight="1" x14ac:dyDescent="0.2">
      <c r="A195" s="4" t="s">
        <v>392</v>
      </c>
      <c r="B195" s="4" t="s">
        <v>393</v>
      </c>
      <c r="C195" s="8" t="s">
        <v>23</v>
      </c>
      <c r="D195" s="6">
        <v>66.099999999999994</v>
      </c>
      <c r="E195" s="6">
        <v>32.4</v>
      </c>
      <c r="F195" s="7">
        <v>65.099999999999994</v>
      </c>
      <c r="G195" s="7">
        <v>33.6</v>
      </c>
    </row>
    <row r="196" spans="1:7" ht="12" customHeight="1" x14ac:dyDescent="0.2">
      <c r="A196" s="4" t="s">
        <v>394</v>
      </c>
      <c r="B196" s="4" t="s">
        <v>395</v>
      </c>
      <c r="C196" s="8" t="s">
        <v>23</v>
      </c>
      <c r="D196" s="6">
        <v>55.2</v>
      </c>
      <c r="E196" s="6">
        <v>42.8</v>
      </c>
      <c r="F196" s="7">
        <v>56.3</v>
      </c>
      <c r="G196" s="7">
        <v>42</v>
      </c>
    </row>
    <row r="197" spans="1:7" ht="12" customHeight="1" x14ac:dyDescent="0.2">
      <c r="A197" s="4" t="s">
        <v>396</v>
      </c>
      <c r="B197" s="4" t="s">
        <v>397</v>
      </c>
      <c r="C197" s="8" t="s">
        <v>23</v>
      </c>
      <c r="D197" s="6">
        <v>76.2</v>
      </c>
      <c r="E197" s="6">
        <v>22.3</v>
      </c>
      <c r="F197" s="7">
        <v>76.2</v>
      </c>
      <c r="G197" s="7">
        <v>22.4</v>
      </c>
    </row>
    <row r="198" spans="1:7" ht="12" customHeight="1" x14ac:dyDescent="0.2">
      <c r="A198" s="4" t="s">
        <v>398</v>
      </c>
      <c r="B198" s="4" t="s">
        <v>399</v>
      </c>
      <c r="C198" s="8" t="s">
        <v>23</v>
      </c>
      <c r="D198" s="6">
        <v>62</v>
      </c>
      <c r="E198" s="6">
        <v>36</v>
      </c>
      <c r="F198" s="7">
        <v>62.8</v>
      </c>
      <c r="G198" s="7">
        <v>35.6</v>
      </c>
    </row>
    <row r="199" spans="1:7" ht="12" customHeight="1" x14ac:dyDescent="0.2">
      <c r="A199" s="4" t="s">
        <v>400</v>
      </c>
      <c r="B199" s="4" t="s">
        <v>401</v>
      </c>
      <c r="C199" s="8" t="s">
        <v>23</v>
      </c>
      <c r="D199" s="6">
        <v>59.6</v>
      </c>
      <c r="E199" s="6">
        <v>38.200000000000003</v>
      </c>
      <c r="F199" s="7">
        <v>60.7</v>
      </c>
      <c r="G199" s="7">
        <v>37.5</v>
      </c>
    </row>
    <row r="200" spans="1:7" ht="12" customHeight="1" x14ac:dyDescent="0.2">
      <c r="A200" s="4" t="s">
        <v>402</v>
      </c>
      <c r="B200" s="4" t="s">
        <v>403</v>
      </c>
      <c r="C200" s="5" t="s">
        <v>8</v>
      </c>
      <c r="D200" s="6">
        <v>52.9</v>
      </c>
      <c r="E200" s="6">
        <v>44.4</v>
      </c>
      <c r="F200" s="7">
        <v>54.6</v>
      </c>
      <c r="G200" s="7">
        <v>43.4</v>
      </c>
    </row>
    <row r="201" spans="1:7" ht="12" customHeight="1" x14ac:dyDescent="0.2">
      <c r="A201" s="4" t="s">
        <v>404</v>
      </c>
      <c r="B201" s="4" t="s">
        <v>405</v>
      </c>
      <c r="C201" s="5" t="s">
        <v>8</v>
      </c>
      <c r="D201" s="14">
        <v>45.3</v>
      </c>
      <c r="E201" s="14">
        <v>53.6</v>
      </c>
      <c r="F201" s="7">
        <v>49.7</v>
      </c>
      <c r="G201" s="7">
        <v>48.4</v>
      </c>
    </row>
    <row r="202" spans="1:7" ht="12" customHeight="1" x14ac:dyDescent="0.2">
      <c r="A202" s="4" t="s">
        <v>406</v>
      </c>
      <c r="B202" s="4" t="s">
        <v>407</v>
      </c>
      <c r="C202" s="5" t="s">
        <v>8</v>
      </c>
      <c r="D202" s="14">
        <v>43.1</v>
      </c>
      <c r="E202" s="14">
        <v>56</v>
      </c>
      <c r="F202" s="7">
        <v>48</v>
      </c>
      <c r="G202" s="7">
        <v>50.3</v>
      </c>
    </row>
    <row r="203" spans="1:7" ht="12" customHeight="1" x14ac:dyDescent="0.2">
      <c r="A203" s="4" t="s">
        <v>408</v>
      </c>
      <c r="B203" s="4" t="s">
        <v>409</v>
      </c>
      <c r="C203" s="5" t="s">
        <v>8</v>
      </c>
      <c r="D203" s="14">
        <v>45.8</v>
      </c>
      <c r="E203" s="14">
        <v>53.1</v>
      </c>
      <c r="F203" s="7">
        <v>49.7</v>
      </c>
      <c r="G203" s="7">
        <v>48.6</v>
      </c>
    </row>
    <row r="204" spans="1:7" ht="12" customHeight="1" x14ac:dyDescent="0.2">
      <c r="A204" s="4" t="s">
        <v>410</v>
      </c>
      <c r="B204" s="4" t="s">
        <v>411</v>
      </c>
      <c r="C204" s="5" t="s">
        <v>8</v>
      </c>
      <c r="D204" s="14">
        <v>45.5</v>
      </c>
      <c r="E204" s="14">
        <v>53.5</v>
      </c>
      <c r="F204" s="7">
        <v>49.6</v>
      </c>
      <c r="G204" s="7">
        <v>48.6</v>
      </c>
    </row>
    <row r="205" spans="1:7" ht="12" customHeight="1" x14ac:dyDescent="0.2">
      <c r="A205" s="4" t="s">
        <v>412</v>
      </c>
      <c r="B205" s="4" t="s">
        <v>413</v>
      </c>
      <c r="C205" s="8" t="s">
        <v>23</v>
      </c>
      <c r="D205" s="14">
        <v>60.7</v>
      </c>
      <c r="E205" s="14">
        <v>38.299999999999997</v>
      </c>
      <c r="F205" s="7">
        <v>63</v>
      </c>
      <c r="G205" s="7">
        <v>35.299999999999997</v>
      </c>
    </row>
    <row r="206" spans="1:7" ht="12" customHeight="1" x14ac:dyDescent="0.2">
      <c r="A206" s="4" t="s">
        <v>414</v>
      </c>
      <c r="B206" s="4" t="s">
        <v>415</v>
      </c>
      <c r="C206" s="5" t="s">
        <v>8</v>
      </c>
      <c r="D206" s="14">
        <v>48.8</v>
      </c>
      <c r="E206" s="14">
        <v>50.2</v>
      </c>
      <c r="F206" s="7">
        <v>53.1</v>
      </c>
      <c r="G206" s="7">
        <v>45.2</v>
      </c>
    </row>
    <row r="207" spans="1:7" ht="12" customHeight="1" x14ac:dyDescent="0.2">
      <c r="A207" s="4" t="s">
        <v>416</v>
      </c>
      <c r="B207" s="4" t="s">
        <v>417</v>
      </c>
      <c r="C207" s="5" t="s">
        <v>8</v>
      </c>
      <c r="D207" s="14">
        <v>47.9</v>
      </c>
      <c r="E207" s="14">
        <v>51</v>
      </c>
      <c r="F207" s="7">
        <v>50.8</v>
      </c>
      <c r="G207" s="7">
        <v>47.4</v>
      </c>
    </row>
    <row r="208" spans="1:7" ht="12" customHeight="1" x14ac:dyDescent="0.2">
      <c r="A208" s="4" t="s">
        <v>418</v>
      </c>
      <c r="B208" s="4" t="s">
        <v>419</v>
      </c>
      <c r="C208" s="5" t="s">
        <v>8</v>
      </c>
      <c r="D208" s="14">
        <v>48</v>
      </c>
      <c r="E208" s="14">
        <v>51.1</v>
      </c>
      <c r="F208" s="7">
        <v>52</v>
      </c>
      <c r="G208" s="7">
        <v>46.4</v>
      </c>
    </row>
    <row r="209" spans="1:7" ht="12" customHeight="1" x14ac:dyDescent="0.2">
      <c r="A209" s="4" t="s">
        <v>420</v>
      </c>
      <c r="B209" s="4" t="s">
        <v>421</v>
      </c>
      <c r="C209" s="8" t="s">
        <v>23</v>
      </c>
      <c r="D209" s="14">
        <v>57.2</v>
      </c>
      <c r="E209" s="14">
        <v>41.9</v>
      </c>
      <c r="F209" s="7">
        <v>58.1</v>
      </c>
      <c r="G209" s="7">
        <v>40.1</v>
      </c>
    </row>
    <row r="210" spans="1:7" ht="12" customHeight="1" x14ac:dyDescent="0.2">
      <c r="A210" s="4" t="s">
        <v>422</v>
      </c>
      <c r="B210" s="4" t="s">
        <v>423</v>
      </c>
      <c r="C210" s="5" t="s">
        <v>8</v>
      </c>
      <c r="D210" s="14">
        <v>43.7</v>
      </c>
      <c r="E210" s="14">
        <v>55.3</v>
      </c>
      <c r="F210" s="7">
        <v>48</v>
      </c>
      <c r="G210" s="7">
        <v>50</v>
      </c>
    </row>
    <row r="211" spans="1:7" ht="12" customHeight="1" x14ac:dyDescent="0.2">
      <c r="A211" s="4" t="s">
        <v>424</v>
      </c>
      <c r="B211" s="4" t="s">
        <v>425</v>
      </c>
      <c r="C211" s="5" t="s">
        <v>8</v>
      </c>
      <c r="D211" s="14">
        <v>46.9</v>
      </c>
      <c r="E211" s="14">
        <v>52.3</v>
      </c>
      <c r="F211" s="7">
        <v>50.2</v>
      </c>
      <c r="G211" s="7">
        <v>48.3</v>
      </c>
    </row>
    <row r="212" spans="1:7" ht="12" customHeight="1" x14ac:dyDescent="0.2">
      <c r="A212" s="4" t="s">
        <v>426</v>
      </c>
      <c r="B212" s="4" t="s">
        <v>427</v>
      </c>
      <c r="C212" s="8" t="s">
        <v>23</v>
      </c>
      <c r="D212" s="14">
        <v>66.2</v>
      </c>
      <c r="E212" s="14">
        <v>32.799999999999997</v>
      </c>
      <c r="F212" s="7">
        <v>66.900000000000006</v>
      </c>
      <c r="G212" s="7">
        <v>31.4</v>
      </c>
    </row>
    <row r="213" spans="1:7" ht="12" customHeight="1" x14ac:dyDescent="0.2">
      <c r="A213" s="4" t="s">
        <v>428</v>
      </c>
      <c r="B213" s="4" t="s">
        <v>429</v>
      </c>
      <c r="C213" s="8" t="s">
        <v>23</v>
      </c>
      <c r="D213" s="14">
        <v>85.2</v>
      </c>
      <c r="E213" s="14">
        <v>14.3</v>
      </c>
      <c r="F213" s="7">
        <v>84.8</v>
      </c>
      <c r="G213" s="7">
        <v>14.2</v>
      </c>
    </row>
    <row r="214" spans="1:7" ht="12" customHeight="1" x14ac:dyDescent="0.2">
      <c r="A214" s="4" t="s">
        <v>430</v>
      </c>
      <c r="B214" s="4" t="s">
        <v>431</v>
      </c>
      <c r="C214" s="8" t="s">
        <v>23</v>
      </c>
      <c r="D214" s="14">
        <v>81</v>
      </c>
      <c r="E214" s="14">
        <v>18.600000000000001</v>
      </c>
      <c r="F214" s="7">
        <v>82.2</v>
      </c>
      <c r="G214" s="7">
        <v>17.100000000000001</v>
      </c>
    </row>
    <row r="215" spans="1:7" ht="12" customHeight="1" x14ac:dyDescent="0.2">
      <c r="A215" s="4" t="s">
        <v>432</v>
      </c>
      <c r="B215" s="4" t="s">
        <v>433</v>
      </c>
      <c r="C215" s="8" t="s">
        <v>23</v>
      </c>
      <c r="D215" s="6">
        <v>49.6</v>
      </c>
      <c r="E215" s="6">
        <v>48.2</v>
      </c>
      <c r="F215" s="7">
        <v>50.8</v>
      </c>
      <c r="G215" s="7">
        <v>46.7</v>
      </c>
    </row>
    <row r="216" spans="1:7" ht="12" customHeight="1" x14ac:dyDescent="0.2">
      <c r="A216" s="4" t="s">
        <v>434</v>
      </c>
      <c r="B216" s="4" t="s">
        <v>435</v>
      </c>
      <c r="C216" s="5" t="s">
        <v>8</v>
      </c>
      <c r="D216" s="6">
        <v>49.1</v>
      </c>
      <c r="E216" s="6">
        <v>49</v>
      </c>
      <c r="F216" s="7">
        <v>50.5</v>
      </c>
      <c r="G216" s="7">
        <v>47.6</v>
      </c>
    </row>
    <row r="217" spans="1:7" ht="12" customHeight="1" x14ac:dyDescent="0.2">
      <c r="A217" s="4" t="s">
        <v>436</v>
      </c>
      <c r="B217" s="4" t="s">
        <v>437</v>
      </c>
      <c r="C217" s="5" t="s">
        <v>8</v>
      </c>
      <c r="D217" s="6">
        <v>49.6</v>
      </c>
      <c r="E217" s="6">
        <v>48.8</v>
      </c>
      <c r="F217" s="7">
        <v>51</v>
      </c>
      <c r="G217" s="7">
        <v>47.4</v>
      </c>
    </row>
    <row r="218" spans="1:7" ht="12" customHeight="1" x14ac:dyDescent="0.2">
      <c r="A218" s="4" t="s">
        <v>438</v>
      </c>
      <c r="B218" s="4" t="s">
        <v>439</v>
      </c>
      <c r="C218" s="8" t="s">
        <v>23</v>
      </c>
      <c r="D218" s="6">
        <v>62.5</v>
      </c>
      <c r="E218" s="6">
        <v>35.5</v>
      </c>
      <c r="F218" s="7">
        <v>62.6</v>
      </c>
      <c r="G218" s="7">
        <v>35.5</v>
      </c>
    </row>
    <row r="219" spans="1:7" ht="12" customHeight="1" x14ac:dyDescent="0.2">
      <c r="A219" s="4" t="s">
        <v>440</v>
      </c>
      <c r="B219" s="4" t="s">
        <v>441</v>
      </c>
      <c r="C219" s="8" t="s">
        <v>23</v>
      </c>
      <c r="D219" s="6">
        <v>73.5</v>
      </c>
      <c r="E219" s="6">
        <v>24</v>
      </c>
      <c r="F219" s="7">
        <v>73.400000000000006</v>
      </c>
      <c r="G219" s="7">
        <v>24.5</v>
      </c>
    </row>
    <row r="220" spans="1:7" ht="12" customHeight="1" x14ac:dyDescent="0.2">
      <c r="A220" s="4" t="s">
        <v>442</v>
      </c>
      <c r="B220" s="4" t="s">
        <v>443</v>
      </c>
      <c r="C220" s="5" t="s">
        <v>8</v>
      </c>
      <c r="D220" s="6">
        <v>41.5</v>
      </c>
      <c r="E220" s="6">
        <v>56.5</v>
      </c>
      <c r="F220" s="7">
        <v>43.2</v>
      </c>
      <c r="G220" s="7">
        <v>54.7</v>
      </c>
    </row>
    <row r="221" spans="1:7" ht="12" customHeight="1" x14ac:dyDescent="0.2">
      <c r="A221" s="4" t="s">
        <v>444</v>
      </c>
      <c r="B221" s="4" t="s">
        <v>445</v>
      </c>
      <c r="C221" s="8" t="s">
        <v>23</v>
      </c>
      <c r="D221" s="15">
        <v>44.1</v>
      </c>
      <c r="E221" s="6">
        <v>53.9</v>
      </c>
      <c r="F221" s="7">
        <v>47.1</v>
      </c>
      <c r="G221" s="7">
        <v>50.4</v>
      </c>
    </row>
    <row r="222" spans="1:7" ht="12" customHeight="1" x14ac:dyDescent="0.2">
      <c r="A222" s="4" t="s">
        <v>446</v>
      </c>
      <c r="B222" s="4" t="s">
        <v>447</v>
      </c>
      <c r="C222" s="8" t="s">
        <v>23</v>
      </c>
      <c r="D222" s="6">
        <v>51.7</v>
      </c>
      <c r="E222" s="6">
        <v>46.2</v>
      </c>
      <c r="F222" s="7">
        <v>53.1</v>
      </c>
      <c r="G222" s="7">
        <v>44.5</v>
      </c>
    </row>
    <row r="223" spans="1:7" ht="12" customHeight="1" x14ac:dyDescent="0.2">
      <c r="A223" s="4" t="s">
        <v>448</v>
      </c>
      <c r="B223" s="4" t="s">
        <v>449</v>
      </c>
      <c r="C223" s="8" t="s">
        <v>23</v>
      </c>
      <c r="D223" s="6">
        <v>79.900000000000006</v>
      </c>
      <c r="E223" s="6">
        <v>18.899999999999999</v>
      </c>
      <c r="F223" s="7">
        <v>80.3</v>
      </c>
      <c r="G223" s="7">
        <v>18.600000000000001</v>
      </c>
    </row>
    <row r="224" spans="1:7" ht="12" customHeight="1" x14ac:dyDescent="0.2">
      <c r="A224" s="4" t="s">
        <v>450</v>
      </c>
      <c r="B224" s="4" t="s">
        <v>451</v>
      </c>
      <c r="C224" s="5" t="s">
        <v>8</v>
      </c>
      <c r="D224" s="6">
        <v>41.4</v>
      </c>
      <c r="E224" s="6">
        <v>57.1</v>
      </c>
      <c r="F224" s="7">
        <v>46.4</v>
      </c>
      <c r="G224" s="7">
        <v>52.6</v>
      </c>
    </row>
    <row r="225" spans="1:7" ht="12" customHeight="1" x14ac:dyDescent="0.2">
      <c r="A225" s="4" t="s">
        <v>452</v>
      </c>
      <c r="B225" s="4" t="s">
        <v>453</v>
      </c>
      <c r="C225" s="5" t="s">
        <v>8</v>
      </c>
      <c r="D225" s="6">
        <v>36.1</v>
      </c>
      <c r="E225" s="6">
        <v>62</v>
      </c>
      <c r="F225" s="7">
        <v>42.8</v>
      </c>
      <c r="G225" s="7">
        <v>55.8</v>
      </c>
    </row>
    <row r="226" spans="1:7" ht="12" customHeight="1" x14ac:dyDescent="0.2">
      <c r="A226" s="4" t="s">
        <v>454</v>
      </c>
      <c r="B226" s="4" t="s">
        <v>455</v>
      </c>
      <c r="C226" s="5" t="s">
        <v>8</v>
      </c>
      <c r="D226" s="6">
        <v>36.4</v>
      </c>
      <c r="E226" s="6">
        <v>61.2</v>
      </c>
      <c r="F226" s="7">
        <v>41.9</v>
      </c>
      <c r="G226" s="7">
        <v>56.5</v>
      </c>
    </row>
    <row r="227" spans="1:7" ht="12" customHeight="1" x14ac:dyDescent="0.2">
      <c r="A227" s="4" t="s">
        <v>456</v>
      </c>
      <c r="B227" s="4" t="s">
        <v>457</v>
      </c>
      <c r="C227" s="8" t="s">
        <v>23</v>
      </c>
      <c r="D227" s="6">
        <v>58.9</v>
      </c>
      <c r="E227" s="6">
        <v>39.4</v>
      </c>
      <c r="F227" s="7">
        <v>62</v>
      </c>
      <c r="G227" s="7">
        <v>36.799999999999997</v>
      </c>
    </row>
    <row r="228" spans="1:7" ht="12" customHeight="1" x14ac:dyDescent="0.2">
      <c r="A228" s="4" t="s">
        <v>458</v>
      </c>
      <c r="B228" s="4" t="s">
        <v>459</v>
      </c>
      <c r="C228" s="5" t="s">
        <v>8</v>
      </c>
      <c r="D228" s="15">
        <v>37.9</v>
      </c>
      <c r="E228" s="6">
        <v>60</v>
      </c>
      <c r="F228" s="16">
        <v>43.1</v>
      </c>
      <c r="G228" s="7">
        <v>55.3</v>
      </c>
    </row>
    <row r="229" spans="1:7" ht="12" customHeight="1" x14ac:dyDescent="0.2">
      <c r="A229" s="4" t="s">
        <v>460</v>
      </c>
      <c r="B229" s="4" t="s">
        <v>461</v>
      </c>
      <c r="C229" s="5" t="s">
        <v>8</v>
      </c>
      <c r="D229" s="6">
        <v>30.3</v>
      </c>
      <c r="E229" s="6">
        <v>67.599999999999994</v>
      </c>
      <c r="F229" s="7">
        <v>35.299999999999997</v>
      </c>
      <c r="G229" s="7">
        <v>63.1</v>
      </c>
    </row>
    <row r="230" spans="1:7" ht="12" customHeight="1" x14ac:dyDescent="0.2">
      <c r="A230" s="4" t="s">
        <v>462</v>
      </c>
      <c r="B230" s="4" t="s">
        <v>463</v>
      </c>
      <c r="C230" s="5" t="s">
        <v>8</v>
      </c>
      <c r="D230" s="6">
        <v>32</v>
      </c>
      <c r="E230" s="6">
        <v>65.900000000000006</v>
      </c>
      <c r="F230" s="7">
        <v>38.299999999999997</v>
      </c>
      <c r="G230" s="7">
        <v>60</v>
      </c>
    </row>
    <row r="231" spans="1:7" ht="12" customHeight="1" x14ac:dyDescent="0.2">
      <c r="A231" s="4" t="s">
        <v>464</v>
      </c>
      <c r="B231" s="4" t="s">
        <v>465</v>
      </c>
      <c r="C231" s="5" t="s">
        <v>8</v>
      </c>
      <c r="D231" s="6">
        <v>37</v>
      </c>
      <c r="E231" s="6">
        <v>61.9</v>
      </c>
      <c r="F231" s="7">
        <v>36.6</v>
      </c>
      <c r="G231" s="7">
        <v>62.4</v>
      </c>
    </row>
    <row r="232" spans="1:7" ht="12" customHeight="1" x14ac:dyDescent="0.2">
      <c r="A232" s="4" t="s">
        <v>466</v>
      </c>
      <c r="B232" s="4" t="s">
        <v>467</v>
      </c>
      <c r="C232" s="8" t="s">
        <v>23</v>
      </c>
      <c r="D232" s="6">
        <v>66.400000000000006</v>
      </c>
      <c r="E232" s="6">
        <v>33</v>
      </c>
      <c r="F232" s="7">
        <v>64.2</v>
      </c>
      <c r="G232" s="7">
        <v>35.200000000000003</v>
      </c>
    </row>
    <row r="233" spans="1:7" ht="12" customHeight="1" x14ac:dyDescent="0.2">
      <c r="A233" s="4" t="s">
        <v>468</v>
      </c>
      <c r="B233" s="4" t="s">
        <v>469</v>
      </c>
      <c r="C233" s="5" t="s">
        <v>8</v>
      </c>
      <c r="D233" s="6">
        <v>39.1</v>
      </c>
      <c r="E233" s="6">
        <v>60</v>
      </c>
      <c r="F233" s="7">
        <v>38.4</v>
      </c>
      <c r="G233" s="7">
        <v>60.8</v>
      </c>
    </row>
    <row r="234" spans="1:7" ht="12" customHeight="1" x14ac:dyDescent="0.2">
      <c r="A234" s="4" t="s">
        <v>470</v>
      </c>
      <c r="B234" s="4" t="s">
        <v>471</v>
      </c>
      <c r="C234" s="5" t="s">
        <v>8</v>
      </c>
      <c r="D234" s="6">
        <v>31.2</v>
      </c>
      <c r="E234" s="6">
        <v>67.599999999999994</v>
      </c>
      <c r="F234" s="7">
        <v>31.1</v>
      </c>
      <c r="G234" s="7">
        <v>67.900000000000006</v>
      </c>
    </row>
    <row r="235" spans="1:7" ht="12" customHeight="1" x14ac:dyDescent="0.2">
      <c r="A235" s="4" t="s">
        <v>472</v>
      </c>
      <c r="B235" s="4" t="s">
        <v>473</v>
      </c>
      <c r="C235" s="5" t="s">
        <v>8</v>
      </c>
      <c r="D235" s="6">
        <v>41.7</v>
      </c>
      <c r="E235" s="6">
        <v>55.4</v>
      </c>
      <c r="F235" s="7">
        <v>47.3</v>
      </c>
      <c r="G235" s="7">
        <v>49.5</v>
      </c>
    </row>
    <row r="236" spans="1:7" ht="12" customHeight="1" x14ac:dyDescent="0.2">
      <c r="A236" s="4" t="s">
        <v>474</v>
      </c>
      <c r="B236" s="4" t="s">
        <v>475</v>
      </c>
      <c r="C236" s="8" t="s">
        <v>23</v>
      </c>
      <c r="D236" s="7">
        <v>71.599999999999994</v>
      </c>
      <c r="E236" s="7">
        <v>27.9</v>
      </c>
      <c r="F236" s="7">
        <v>70.708688922482068</v>
      </c>
      <c r="G236" s="7">
        <v>28.980239582266815</v>
      </c>
    </row>
    <row r="237" spans="1:7" ht="12" customHeight="1" x14ac:dyDescent="0.2">
      <c r="A237" s="4" t="s">
        <v>476</v>
      </c>
      <c r="B237" s="4" t="s">
        <v>477</v>
      </c>
      <c r="C237" s="5" t="s">
        <v>8</v>
      </c>
      <c r="D237" s="7">
        <v>41.7</v>
      </c>
      <c r="E237" s="7">
        <v>57.3</v>
      </c>
      <c r="F237" s="7">
        <v>43.477945539658471</v>
      </c>
      <c r="G237" s="7">
        <v>55.883497065998547</v>
      </c>
    </row>
    <row r="238" spans="1:7" ht="12" customHeight="1" x14ac:dyDescent="0.2">
      <c r="A238" s="4" t="s">
        <v>478</v>
      </c>
      <c r="B238" s="4" t="s">
        <v>479</v>
      </c>
      <c r="C238" s="5" t="s">
        <v>8</v>
      </c>
      <c r="D238" s="7">
        <v>41</v>
      </c>
      <c r="E238" s="7">
        <v>58</v>
      </c>
      <c r="F238" s="7">
        <v>43.103185143573377</v>
      </c>
      <c r="G238" s="7">
        <v>56.360058578846015</v>
      </c>
    </row>
    <row r="239" spans="1:7" ht="12" customHeight="1" x14ac:dyDescent="0.2">
      <c r="A239" s="4" t="s">
        <v>480</v>
      </c>
      <c r="B239" s="4" t="s">
        <v>481</v>
      </c>
      <c r="C239" s="8" t="s">
        <v>23</v>
      </c>
      <c r="D239" s="7">
        <v>71.400000000000006</v>
      </c>
      <c r="E239" s="7">
        <v>27.4</v>
      </c>
      <c r="F239" s="7">
        <v>72.327759962681199</v>
      </c>
      <c r="G239" s="7">
        <v>27.125367100194513</v>
      </c>
    </row>
    <row r="240" spans="1:7" ht="12" customHeight="1" x14ac:dyDescent="0.2">
      <c r="A240" s="4" t="s">
        <v>482</v>
      </c>
      <c r="B240" s="4" t="s">
        <v>483</v>
      </c>
      <c r="C240" s="5" t="s">
        <v>8</v>
      </c>
      <c r="D240" s="7">
        <v>39.799999999999997</v>
      </c>
      <c r="E240" s="7">
        <v>59.1</v>
      </c>
      <c r="F240" s="7">
        <v>42.166524965442257</v>
      </c>
      <c r="G240" s="7">
        <v>57.070023539754423</v>
      </c>
    </row>
    <row r="241" spans="1:7" ht="12" customHeight="1" x14ac:dyDescent="0.2">
      <c r="A241" s="4" t="s">
        <v>484</v>
      </c>
      <c r="B241" s="4" t="s">
        <v>485</v>
      </c>
      <c r="C241" s="5" t="s">
        <v>8</v>
      </c>
      <c r="D241" s="7">
        <v>41.3</v>
      </c>
      <c r="E241" s="7">
        <v>57.7</v>
      </c>
      <c r="F241" s="7">
        <v>43.396126955942741</v>
      </c>
      <c r="G241" s="7">
        <v>55.873099545000557</v>
      </c>
    </row>
    <row r="242" spans="1:7" ht="12" customHeight="1" x14ac:dyDescent="0.2">
      <c r="A242" s="4" t="s">
        <v>486</v>
      </c>
      <c r="B242" s="10" t="s">
        <v>487</v>
      </c>
      <c r="C242" s="5" t="s">
        <v>8</v>
      </c>
      <c r="D242" s="7">
        <v>39.9</v>
      </c>
      <c r="E242" s="7">
        <v>59.2</v>
      </c>
      <c r="F242" s="7">
        <v>41.674352038345639</v>
      </c>
      <c r="G242" s="7">
        <v>57.785564250221313</v>
      </c>
    </row>
    <row r="243" spans="1:7" ht="12" customHeight="1" x14ac:dyDescent="0.2">
      <c r="A243" s="4" t="s">
        <v>488</v>
      </c>
      <c r="B243" s="4" t="s">
        <v>489</v>
      </c>
      <c r="C243" s="5" t="s">
        <v>8</v>
      </c>
      <c r="D243" s="7">
        <v>41</v>
      </c>
      <c r="E243" s="7">
        <v>58.1</v>
      </c>
      <c r="F243" s="7">
        <v>41.773830669034936</v>
      </c>
      <c r="G243" s="7">
        <v>57.59857904085257</v>
      </c>
    </row>
    <row r="244" spans="1:7" ht="12" customHeight="1" x14ac:dyDescent="0.2">
      <c r="A244" s="4" t="s">
        <v>490</v>
      </c>
      <c r="B244" s="4" t="s">
        <v>491</v>
      </c>
      <c r="C244" s="5" t="s">
        <v>8</v>
      </c>
      <c r="D244" s="7">
        <v>42.8</v>
      </c>
      <c r="E244" s="7">
        <v>56.2</v>
      </c>
      <c r="F244" s="7">
        <v>45.178867634798905</v>
      </c>
      <c r="G244" s="7">
        <v>54.261624892209582</v>
      </c>
    </row>
    <row r="245" spans="1:7" ht="12" customHeight="1" x14ac:dyDescent="0.2">
      <c r="A245" s="4" t="s">
        <v>492</v>
      </c>
      <c r="B245" s="4" t="s">
        <v>493</v>
      </c>
      <c r="C245" s="5" t="s">
        <v>8</v>
      </c>
      <c r="D245" s="7">
        <v>40.9</v>
      </c>
      <c r="E245" s="7">
        <v>58</v>
      </c>
      <c r="F245" s="7">
        <v>42.14349551783387</v>
      </c>
      <c r="G245" s="7">
        <v>57.196592410258887</v>
      </c>
    </row>
    <row r="246" spans="1:7" ht="12" customHeight="1" x14ac:dyDescent="0.2">
      <c r="A246" s="4" t="s">
        <v>494</v>
      </c>
      <c r="B246" s="4" t="s">
        <v>495</v>
      </c>
      <c r="C246" s="5" t="s">
        <v>8</v>
      </c>
      <c r="D246" s="7">
        <v>37.799999999999997</v>
      </c>
      <c r="E246" s="7">
        <v>60.9</v>
      </c>
      <c r="F246" s="7">
        <v>40.66766522232723</v>
      </c>
      <c r="G246" s="7">
        <v>58.508229168524096</v>
      </c>
    </row>
    <row r="247" spans="1:7" ht="12" customHeight="1" x14ac:dyDescent="0.2">
      <c r="A247" s="4" t="s">
        <v>496</v>
      </c>
      <c r="B247" s="4" t="s">
        <v>497</v>
      </c>
      <c r="C247" s="8" t="s">
        <v>23</v>
      </c>
      <c r="D247" s="7">
        <v>78.5</v>
      </c>
      <c r="E247" s="7">
        <v>20.8</v>
      </c>
      <c r="F247" s="7">
        <v>78.216487298253298</v>
      </c>
      <c r="G247" s="7">
        <v>21.398321029549606</v>
      </c>
    </row>
    <row r="248" spans="1:7" ht="12" customHeight="1" x14ac:dyDescent="0.2">
      <c r="A248" s="4" t="s">
        <v>498</v>
      </c>
      <c r="B248" s="4" t="s">
        <v>499</v>
      </c>
      <c r="C248" s="5" t="s">
        <v>8</v>
      </c>
      <c r="D248" s="7">
        <v>43.5</v>
      </c>
      <c r="E248" s="7">
        <v>55.4</v>
      </c>
      <c r="F248" s="7">
        <v>45.105273866017079</v>
      </c>
      <c r="G248" s="7">
        <v>54.272540814587124</v>
      </c>
    </row>
    <row r="249" spans="1:7" ht="12" customHeight="1" x14ac:dyDescent="0.2">
      <c r="A249" s="4" t="s">
        <v>500</v>
      </c>
      <c r="B249" s="4" t="s">
        <v>501</v>
      </c>
      <c r="C249" s="5" t="s">
        <v>8</v>
      </c>
      <c r="D249" s="6">
        <v>38.9</v>
      </c>
      <c r="E249" s="6">
        <v>58.7</v>
      </c>
      <c r="F249" s="7">
        <v>44.6</v>
      </c>
      <c r="G249" s="7">
        <v>53.3</v>
      </c>
    </row>
    <row r="250" spans="1:7" ht="12" customHeight="1" x14ac:dyDescent="0.2">
      <c r="A250" s="4" t="s">
        <v>502</v>
      </c>
      <c r="B250" s="4" t="s">
        <v>503</v>
      </c>
      <c r="C250" s="5" t="s">
        <v>8</v>
      </c>
      <c r="D250" s="6">
        <v>40.799999999999997</v>
      </c>
      <c r="E250" s="6">
        <v>57.4</v>
      </c>
      <c r="F250" s="7">
        <v>44.2</v>
      </c>
      <c r="G250" s="7">
        <v>54.3</v>
      </c>
    </row>
    <row r="251" spans="1:7" ht="12" customHeight="1" x14ac:dyDescent="0.2">
      <c r="A251" s="4" t="s">
        <v>504</v>
      </c>
      <c r="B251" s="4" t="s">
        <v>505</v>
      </c>
      <c r="C251" s="8" t="s">
        <v>23</v>
      </c>
      <c r="D251" s="6">
        <v>45.7</v>
      </c>
      <c r="E251" s="6">
        <v>52.9</v>
      </c>
      <c r="F251" s="7">
        <v>50</v>
      </c>
      <c r="G251" s="7">
        <v>48.8</v>
      </c>
    </row>
    <row r="252" spans="1:7" ht="12" customHeight="1" x14ac:dyDescent="0.2">
      <c r="A252" s="4" t="s">
        <v>506</v>
      </c>
      <c r="B252" s="4" t="s">
        <v>507</v>
      </c>
      <c r="C252" s="5" t="s">
        <v>8</v>
      </c>
      <c r="D252" s="6">
        <v>27.8</v>
      </c>
      <c r="E252" s="6">
        <v>70.2</v>
      </c>
      <c r="F252" s="7">
        <v>31.1</v>
      </c>
      <c r="G252" s="7">
        <v>67.099999999999994</v>
      </c>
    </row>
    <row r="253" spans="1:7" ht="12" customHeight="1" x14ac:dyDescent="0.2">
      <c r="A253" s="4" t="s">
        <v>508</v>
      </c>
      <c r="B253" s="4" t="s">
        <v>509</v>
      </c>
      <c r="C253" s="5" t="s">
        <v>8</v>
      </c>
      <c r="D253" s="6">
        <v>50.2</v>
      </c>
      <c r="E253" s="6">
        <v>48.6</v>
      </c>
      <c r="F253" s="7">
        <v>52.8</v>
      </c>
      <c r="G253" s="7">
        <v>46.4</v>
      </c>
    </row>
    <row r="254" spans="1:7" ht="12" customHeight="1" x14ac:dyDescent="0.2">
      <c r="A254" s="4" t="s">
        <v>510</v>
      </c>
      <c r="B254" s="4" t="s">
        <v>511</v>
      </c>
      <c r="C254" s="8" t="s">
        <v>23</v>
      </c>
      <c r="D254" s="6">
        <v>54.2</v>
      </c>
      <c r="E254" s="6">
        <v>44.5</v>
      </c>
      <c r="F254" s="7">
        <v>56</v>
      </c>
      <c r="G254" s="7">
        <v>43.1</v>
      </c>
    </row>
    <row r="255" spans="1:7" ht="12" customHeight="1" x14ac:dyDescent="0.2">
      <c r="A255" s="4" t="s">
        <v>512</v>
      </c>
      <c r="B255" s="4" t="s">
        <v>513</v>
      </c>
      <c r="C255" s="8" t="s">
        <v>23</v>
      </c>
      <c r="D255" s="7">
        <v>65.099999999999994</v>
      </c>
      <c r="E255" s="7">
        <v>33.799999999999997</v>
      </c>
      <c r="F255" s="7">
        <v>64.7</v>
      </c>
      <c r="G255" s="7">
        <v>34.200000000000003</v>
      </c>
    </row>
    <row r="256" spans="1:7" ht="12" customHeight="1" x14ac:dyDescent="0.2">
      <c r="A256" s="4" t="s">
        <v>514</v>
      </c>
      <c r="B256" s="4" t="s">
        <v>515</v>
      </c>
      <c r="C256" s="5" t="s">
        <v>8</v>
      </c>
      <c r="D256" s="7">
        <v>53.5</v>
      </c>
      <c r="E256" s="7">
        <v>45.4</v>
      </c>
      <c r="F256" s="7">
        <v>53.2</v>
      </c>
      <c r="G256" s="7">
        <v>45.5</v>
      </c>
    </row>
    <row r="257" spans="1:7" ht="12" customHeight="1" x14ac:dyDescent="0.2">
      <c r="A257" s="4" t="s">
        <v>516</v>
      </c>
      <c r="B257" s="4" t="s">
        <v>517</v>
      </c>
      <c r="C257" s="5" t="s">
        <v>8</v>
      </c>
      <c r="D257" s="7">
        <v>51.8</v>
      </c>
      <c r="E257" s="7">
        <v>47.2</v>
      </c>
      <c r="F257" s="7">
        <v>51.1</v>
      </c>
      <c r="G257" s="7">
        <v>47.7</v>
      </c>
    </row>
    <row r="258" spans="1:7" ht="12" customHeight="1" x14ac:dyDescent="0.2">
      <c r="A258" s="4" t="s">
        <v>518</v>
      </c>
      <c r="B258" s="4" t="s">
        <v>519</v>
      </c>
      <c r="C258" s="5" t="s">
        <v>8</v>
      </c>
      <c r="D258" s="7">
        <v>44.7</v>
      </c>
      <c r="E258" s="7">
        <v>54.2</v>
      </c>
      <c r="F258" s="7">
        <v>45.3</v>
      </c>
      <c r="G258" s="7">
        <v>53.6</v>
      </c>
    </row>
    <row r="259" spans="1:7" ht="12" customHeight="1" x14ac:dyDescent="0.2">
      <c r="A259" s="4" t="s">
        <v>520</v>
      </c>
      <c r="B259" s="4" t="s">
        <v>521</v>
      </c>
      <c r="C259" s="5" t="s">
        <v>8</v>
      </c>
      <c r="D259" s="7">
        <v>47.9</v>
      </c>
      <c r="E259" s="7">
        <v>51</v>
      </c>
      <c r="F259" s="7">
        <v>48.5</v>
      </c>
      <c r="G259" s="7">
        <v>50.5</v>
      </c>
    </row>
    <row r="260" spans="1:7" ht="12" customHeight="1" x14ac:dyDescent="0.2">
      <c r="A260" s="4" t="s">
        <v>522</v>
      </c>
      <c r="B260" s="4" t="s">
        <v>523</v>
      </c>
      <c r="C260" s="8" t="s">
        <v>23</v>
      </c>
      <c r="D260" s="7">
        <v>61.4</v>
      </c>
      <c r="E260" s="7">
        <v>37.4</v>
      </c>
      <c r="F260" s="7">
        <v>58.4</v>
      </c>
      <c r="G260" s="7">
        <v>40.5</v>
      </c>
    </row>
    <row r="261" spans="1:7" ht="12" customHeight="1" x14ac:dyDescent="0.2">
      <c r="A261" s="4" t="s">
        <v>524</v>
      </c>
      <c r="B261" s="4" t="s">
        <v>525</v>
      </c>
      <c r="C261" s="5" t="s">
        <v>8</v>
      </c>
      <c r="D261" s="7">
        <v>46.3</v>
      </c>
      <c r="E261" s="7">
        <v>52.5</v>
      </c>
      <c r="F261" s="7">
        <v>47.2</v>
      </c>
      <c r="G261" s="7">
        <v>51.6</v>
      </c>
    </row>
    <row r="262" spans="1:7" ht="12" customHeight="1" x14ac:dyDescent="0.2">
      <c r="A262" s="4" t="s">
        <v>526</v>
      </c>
      <c r="B262" s="4" t="s">
        <v>527</v>
      </c>
      <c r="C262" s="8" t="s">
        <v>23</v>
      </c>
      <c r="D262" s="7">
        <v>78.3</v>
      </c>
      <c r="E262" s="7">
        <v>20.7</v>
      </c>
      <c r="F262" s="7">
        <v>73.2</v>
      </c>
      <c r="G262" s="7">
        <v>26</v>
      </c>
    </row>
    <row r="263" spans="1:7" ht="12" customHeight="1" x14ac:dyDescent="0.2">
      <c r="A263" s="4" t="s">
        <v>528</v>
      </c>
      <c r="B263" s="4" t="s">
        <v>529</v>
      </c>
      <c r="C263" s="8" t="s">
        <v>23</v>
      </c>
      <c r="D263" s="7">
        <v>68.3</v>
      </c>
      <c r="E263" s="7">
        <v>30.8</v>
      </c>
      <c r="F263" s="7">
        <v>64</v>
      </c>
      <c r="G263" s="7">
        <v>35.200000000000003</v>
      </c>
    </row>
    <row r="264" spans="1:7" ht="12" customHeight="1" x14ac:dyDescent="0.2">
      <c r="A264" s="4" t="s">
        <v>530</v>
      </c>
      <c r="B264" s="4" t="s">
        <v>531</v>
      </c>
      <c r="C264" s="8" t="s">
        <v>23</v>
      </c>
      <c r="D264" s="7">
        <v>87.9</v>
      </c>
      <c r="E264" s="7">
        <v>11.5</v>
      </c>
      <c r="F264" s="7">
        <v>84.9</v>
      </c>
      <c r="G264" s="7">
        <v>14.6</v>
      </c>
    </row>
    <row r="265" spans="1:7" ht="12" customHeight="1" x14ac:dyDescent="0.2">
      <c r="A265" s="4" t="s">
        <v>532</v>
      </c>
      <c r="B265" s="4" t="s">
        <v>533</v>
      </c>
      <c r="C265" s="5" t="s">
        <v>8</v>
      </c>
      <c r="D265" s="7">
        <v>46.6</v>
      </c>
      <c r="E265" s="7">
        <v>52.4</v>
      </c>
      <c r="F265" s="7">
        <v>47</v>
      </c>
      <c r="G265" s="7">
        <v>52.1</v>
      </c>
    </row>
    <row r="266" spans="1:7" ht="12" customHeight="1" x14ac:dyDescent="0.2">
      <c r="A266" s="4" t="s">
        <v>534</v>
      </c>
      <c r="B266" s="4" t="s">
        <v>535</v>
      </c>
      <c r="C266" s="8" t="s">
        <v>23</v>
      </c>
      <c r="D266" s="7">
        <v>66.5</v>
      </c>
      <c r="E266" s="7">
        <v>32.4</v>
      </c>
      <c r="F266" s="7">
        <v>65.7</v>
      </c>
      <c r="G266" s="7">
        <v>33.299999999999997</v>
      </c>
    </row>
    <row r="267" spans="1:7" ht="12" customHeight="1" x14ac:dyDescent="0.2">
      <c r="A267" s="4" t="s">
        <v>536</v>
      </c>
      <c r="B267" s="4" t="s">
        <v>537</v>
      </c>
      <c r="C267" s="8" t="s">
        <v>23</v>
      </c>
      <c r="D267" s="6">
        <v>55.3</v>
      </c>
      <c r="E267" s="6">
        <v>39.6</v>
      </c>
      <c r="F267" s="7">
        <v>59.7</v>
      </c>
      <c r="G267" s="7">
        <v>39</v>
      </c>
    </row>
    <row r="268" spans="1:7" ht="12" customHeight="1" x14ac:dyDescent="0.2">
      <c r="A268" s="4" t="s">
        <v>538</v>
      </c>
      <c r="B268" s="4" t="s">
        <v>539</v>
      </c>
      <c r="C268" s="5" t="s">
        <v>8</v>
      </c>
      <c r="D268" s="6">
        <v>44.9</v>
      </c>
      <c r="E268" s="6">
        <v>51.7</v>
      </c>
      <c r="F268" s="7">
        <v>48.4</v>
      </c>
      <c r="G268" s="7">
        <v>50.2</v>
      </c>
    </row>
    <row r="269" spans="1:7" ht="12" customHeight="1" x14ac:dyDescent="0.2">
      <c r="A269" s="4" t="s">
        <v>540</v>
      </c>
      <c r="B269" s="4" t="s">
        <v>541</v>
      </c>
      <c r="C269" s="8" t="s">
        <v>23</v>
      </c>
      <c r="D269" s="6">
        <v>57.5</v>
      </c>
      <c r="E269" s="6">
        <v>38.700000000000003</v>
      </c>
      <c r="F269" s="7">
        <v>61.2</v>
      </c>
      <c r="G269" s="7">
        <v>37.5</v>
      </c>
    </row>
    <row r="270" spans="1:7" ht="12" customHeight="1" x14ac:dyDescent="0.2">
      <c r="A270" s="4" t="s">
        <v>542</v>
      </c>
      <c r="B270" s="4" t="s">
        <v>543</v>
      </c>
      <c r="C270" s="8" t="s">
        <v>23</v>
      </c>
      <c r="D270" s="6">
        <v>65.599999999999994</v>
      </c>
      <c r="E270" s="6">
        <v>32.4</v>
      </c>
      <c r="F270" s="7">
        <v>64.5</v>
      </c>
      <c r="G270" s="7">
        <v>33</v>
      </c>
    </row>
    <row r="271" spans="1:7" ht="12" customHeight="1" x14ac:dyDescent="0.2">
      <c r="A271" s="4" t="s">
        <v>544</v>
      </c>
      <c r="B271" s="4" t="s">
        <v>545</v>
      </c>
      <c r="C271" s="5" t="s">
        <v>8</v>
      </c>
      <c r="D271" s="6">
        <v>44.8</v>
      </c>
      <c r="E271" s="6">
        <v>52.9</v>
      </c>
      <c r="F271" s="7">
        <v>49.4</v>
      </c>
      <c r="G271" s="7">
        <v>48.2</v>
      </c>
    </row>
    <row r="272" spans="1:7" ht="12" customHeight="1" x14ac:dyDescent="0.2">
      <c r="A272" s="4" t="s">
        <v>546</v>
      </c>
      <c r="B272" s="4" t="s">
        <v>547</v>
      </c>
      <c r="C272" s="5" t="s">
        <v>8</v>
      </c>
      <c r="D272" s="6">
        <v>49.5</v>
      </c>
      <c r="E272" s="6">
        <v>48.7</v>
      </c>
      <c r="F272" s="7">
        <v>53.5</v>
      </c>
      <c r="G272" s="7">
        <v>44.6</v>
      </c>
    </row>
    <row r="273" spans="1:7" ht="12" customHeight="1" x14ac:dyDescent="0.2">
      <c r="A273" s="4" t="s">
        <v>548</v>
      </c>
      <c r="B273" s="4" t="s">
        <v>549</v>
      </c>
      <c r="C273" s="5" t="s">
        <v>8</v>
      </c>
      <c r="D273" s="6">
        <v>54.4</v>
      </c>
      <c r="E273" s="6">
        <v>43.7</v>
      </c>
      <c r="F273" s="7">
        <v>56.4</v>
      </c>
      <c r="G273" s="7">
        <v>41.4</v>
      </c>
    </row>
    <row r="274" spans="1:7" ht="12" customHeight="1" x14ac:dyDescent="0.2">
      <c r="A274" s="4" t="s">
        <v>550</v>
      </c>
      <c r="B274" s="4" t="s">
        <v>551</v>
      </c>
      <c r="C274" s="5" t="s">
        <v>8</v>
      </c>
      <c r="D274" s="6">
        <v>49.6</v>
      </c>
      <c r="E274" s="6">
        <v>49.1</v>
      </c>
      <c r="F274" s="9">
        <v>51</v>
      </c>
      <c r="G274" s="9">
        <v>48</v>
      </c>
    </row>
    <row r="275" spans="1:7" ht="12" customHeight="1" x14ac:dyDescent="0.2">
      <c r="A275" s="4" t="s">
        <v>552</v>
      </c>
      <c r="B275" s="4" t="s">
        <v>553</v>
      </c>
      <c r="C275" s="5" t="s">
        <v>8</v>
      </c>
      <c r="D275" s="6">
        <v>51.6</v>
      </c>
      <c r="E275" s="6">
        <v>47.2</v>
      </c>
      <c r="F275" s="9">
        <v>51</v>
      </c>
      <c r="G275" s="9">
        <v>48</v>
      </c>
    </row>
    <row r="276" spans="1:7" ht="12" customHeight="1" x14ac:dyDescent="0.2">
      <c r="A276" s="4" t="s">
        <v>554</v>
      </c>
      <c r="B276" s="4" t="s">
        <v>555</v>
      </c>
      <c r="C276" s="8" t="s">
        <v>23</v>
      </c>
      <c r="D276" s="6">
        <v>50.8</v>
      </c>
      <c r="E276" s="6">
        <v>48.2</v>
      </c>
      <c r="F276" s="9">
        <v>54</v>
      </c>
      <c r="G276" s="9">
        <v>46</v>
      </c>
    </row>
    <row r="277" spans="1:7" ht="12" customHeight="1" x14ac:dyDescent="0.2">
      <c r="A277" s="4" t="s">
        <v>556</v>
      </c>
      <c r="B277" s="4" t="s">
        <v>557</v>
      </c>
      <c r="C277" s="8" t="s">
        <v>23</v>
      </c>
      <c r="D277" s="6">
        <v>56.3</v>
      </c>
      <c r="E277" s="6">
        <v>42.8</v>
      </c>
      <c r="F277" s="9">
        <v>55</v>
      </c>
      <c r="G277" s="9">
        <v>44</v>
      </c>
    </row>
    <row r="278" spans="1:7" ht="12" customHeight="1" x14ac:dyDescent="0.2">
      <c r="A278" s="4" t="s">
        <v>558</v>
      </c>
      <c r="B278" s="4" t="s">
        <v>559</v>
      </c>
      <c r="C278" s="8" t="s">
        <v>23</v>
      </c>
      <c r="D278" s="6">
        <v>90.6</v>
      </c>
      <c r="E278" s="6">
        <v>9.1</v>
      </c>
      <c r="F278" s="9">
        <v>86</v>
      </c>
      <c r="G278" s="9">
        <v>14</v>
      </c>
    </row>
    <row r="279" spans="1:7" ht="12" customHeight="1" x14ac:dyDescent="0.2">
      <c r="A279" s="4" t="s">
        <v>560</v>
      </c>
      <c r="B279" s="4" t="s">
        <v>561</v>
      </c>
      <c r="C279" s="8" t="s">
        <v>23</v>
      </c>
      <c r="D279" s="6">
        <v>67.8</v>
      </c>
      <c r="E279" s="6">
        <v>31</v>
      </c>
      <c r="F279" s="9">
        <v>63</v>
      </c>
      <c r="G279" s="9">
        <v>36</v>
      </c>
    </row>
    <row r="280" spans="1:7" ht="12" customHeight="1" x14ac:dyDescent="0.2">
      <c r="A280" s="4" t="s">
        <v>562</v>
      </c>
      <c r="B280" s="4" t="s">
        <v>563</v>
      </c>
      <c r="C280" s="8" t="s">
        <v>23</v>
      </c>
      <c r="D280" s="6">
        <v>88.4</v>
      </c>
      <c r="E280" s="6">
        <v>10.3</v>
      </c>
      <c r="F280" s="9">
        <v>84</v>
      </c>
      <c r="G280" s="9">
        <v>15</v>
      </c>
    </row>
    <row r="281" spans="1:7" ht="12" customHeight="1" x14ac:dyDescent="0.2">
      <c r="A281" s="4" t="s">
        <v>564</v>
      </c>
      <c r="B281" s="4" t="s">
        <v>565</v>
      </c>
      <c r="C281" s="8" t="s">
        <v>23</v>
      </c>
      <c r="D281" s="6">
        <v>89.2</v>
      </c>
      <c r="E281" s="6">
        <v>10.199999999999999</v>
      </c>
      <c r="F281" s="9">
        <v>86</v>
      </c>
      <c r="G281" s="9">
        <v>14</v>
      </c>
    </row>
    <row r="282" spans="1:7" ht="12" customHeight="1" x14ac:dyDescent="0.2">
      <c r="A282" s="4" t="s">
        <v>566</v>
      </c>
      <c r="B282" s="4" t="s">
        <v>567</v>
      </c>
      <c r="C282" s="8" t="s">
        <v>23</v>
      </c>
      <c r="D282" s="6">
        <v>85.2</v>
      </c>
      <c r="E282" s="6">
        <v>13.9</v>
      </c>
      <c r="F282" s="9">
        <v>84</v>
      </c>
      <c r="G282" s="9">
        <v>15</v>
      </c>
    </row>
    <row r="283" spans="1:7" ht="12" customHeight="1" x14ac:dyDescent="0.2">
      <c r="A283" s="4" t="s">
        <v>568</v>
      </c>
      <c r="B283" s="4" t="s">
        <v>569</v>
      </c>
      <c r="C283" s="8" t="s">
        <v>23</v>
      </c>
      <c r="D283" s="6">
        <v>73.599999999999994</v>
      </c>
      <c r="E283" s="6">
        <v>25.1</v>
      </c>
      <c r="F283" s="9">
        <v>76</v>
      </c>
      <c r="G283" s="9">
        <v>23</v>
      </c>
    </row>
    <row r="284" spans="1:7" ht="12" customHeight="1" x14ac:dyDescent="0.2">
      <c r="A284" s="4" t="s">
        <v>570</v>
      </c>
      <c r="B284" s="4" t="s">
        <v>571</v>
      </c>
      <c r="C284" s="5" t="s">
        <v>8</v>
      </c>
      <c r="D284" s="6">
        <v>51.6</v>
      </c>
      <c r="E284" s="6">
        <v>47.3</v>
      </c>
      <c r="F284" s="9">
        <v>48</v>
      </c>
      <c r="G284" s="9">
        <v>51</v>
      </c>
    </row>
    <row r="285" spans="1:7" ht="12" customHeight="1" x14ac:dyDescent="0.2">
      <c r="A285" s="4" t="s">
        <v>572</v>
      </c>
      <c r="B285" s="4" t="s">
        <v>573</v>
      </c>
      <c r="C285" s="8" t="s">
        <v>23</v>
      </c>
      <c r="D285" s="6">
        <v>76.900000000000006</v>
      </c>
      <c r="E285" s="6">
        <v>21.5</v>
      </c>
      <c r="F285" s="9">
        <v>80</v>
      </c>
      <c r="G285" s="9">
        <v>19</v>
      </c>
    </row>
    <row r="286" spans="1:7" ht="12" customHeight="1" x14ac:dyDescent="0.2">
      <c r="A286" s="4" t="s">
        <v>574</v>
      </c>
      <c r="B286" s="4" t="s">
        <v>575</v>
      </c>
      <c r="C286" s="8" t="s">
        <v>23</v>
      </c>
      <c r="D286" s="6">
        <v>94.6</v>
      </c>
      <c r="E286" s="6">
        <v>4.5999999999999996</v>
      </c>
      <c r="F286" s="9">
        <v>93</v>
      </c>
      <c r="G286" s="9">
        <v>6</v>
      </c>
    </row>
    <row r="287" spans="1:7" ht="12" customHeight="1" x14ac:dyDescent="0.2">
      <c r="A287" s="4" t="s">
        <v>576</v>
      </c>
      <c r="B287" s="4" t="s">
        <v>577</v>
      </c>
      <c r="C287" s="8" t="s">
        <v>23</v>
      </c>
      <c r="D287" s="6">
        <v>80.7</v>
      </c>
      <c r="E287" s="6">
        <v>18.3</v>
      </c>
      <c r="F287" s="9">
        <v>76</v>
      </c>
      <c r="G287" s="9">
        <v>23</v>
      </c>
    </row>
    <row r="288" spans="1:7" ht="12" customHeight="1" x14ac:dyDescent="0.2">
      <c r="A288" s="4" t="s">
        <v>578</v>
      </c>
      <c r="B288" s="4" t="s">
        <v>579</v>
      </c>
      <c r="C288" s="8" t="s">
        <v>23</v>
      </c>
      <c r="D288" s="6">
        <v>96.7</v>
      </c>
      <c r="E288" s="6">
        <v>3</v>
      </c>
      <c r="F288" s="9">
        <v>95</v>
      </c>
      <c r="G288" s="9">
        <v>5</v>
      </c>
    </row>
    <row r="289" spans="1:7" ht="12" customHeight="1" x14ac:dyDescent="0.2">
      <c r="A289" s="4" t="s">
        <v>580</v>
      </c>
      <c r="B289" s="4" t="s">
        <v>581</v>
      </c>
      <c r="C289" s="8" t="s">
        <v>23</v>
      </c>
      <c r="D289" s="6">
        <v>73.7</v>
      </c>
      <c r="E289" s="6">
        <v>25.5</v>
      </c>
      <c r="F289" s="9">
        <v>73</v>
      </c>
      <c r="G289" s="9">
        <v>26</v>
      </c>
    </row>
    <row r="290" spans="1:7" ht="12" customHeight="1" x14ac:dyDescent="0.2">
      <c r="A290" s="4" t="s">
        <v>582</v>
      </c>
      <c r="B290" s="4" t="s">
        <v>583</v>
      </c>
      <c r="C290" s="8" t="s">
        <v>23</v>
      </c>
      <c r="D290" s="6">
        <v>57.1</v>
      </c>
      <c r="E290" s="6">
        <v>41.9</v>
      </c>
      <c r="F290" s="9">
        <v>58</v>
      </c>
      <c r="G290" s="9">
        <v>41</v>
      </c>
    </row>
    <row r="291" spans="1:7" ht="12" customHeight="1" x14ac:dyDescent="0.2">
      <c r="A291" s="4" t="s">
        <v>584</v>
      </c>
      <c r="B291" s="4" t="s">
        <v>585</v>
      </c>
      <c r="C291" s="8" t="s">
        <v>23</v>
      </c>
      <c r="D291" s="6">
        <v>51.4</v>
      </c>
      <c r="E291" s="6">
        <v>47.1</v>
      </c>
      <c r="F291" s="9">
        <v>52</v>
      </c>
      <c r="G291" s="9">
        <v>47</v>
      </c>
    </row>
    <row r="292" spans="1:7" ht="12" customHeight="1" x14ac:dyDescent="0.2">
      <c r="A292" s="4" t="s">
        <v>586</v>
      </c>
      <c r="B292" s="4" t="s">
        <v>587</v>
      </c>
      <c r="C292" s="5" t="s">
        <v>8</v>
      </c>
      <c r="D292" s="6">
        <v>52.1</v>
      </c>
      <c r="E292" s="6">
        <v>45.9</v>
      </c>
      <c r="F292" s="9">
        <v>53</v>
      </c>
      <c r="G292" s="9">
        <v>45</v>
      </c>
    </row>
    <row r="293" spans="1:7" ht="12" customHeight="1" x14ac:dyDescent="0.2">
      <c r="A293" s="4" t="s">
        <v>588</v>
      </c>
      <c r="B293" s="4" t="s">
        <v>589</v>
      </c>
      <c r="C293" s="8" t="s">
        <v>23</v>
      </c>
      <c r="D293" s="6">
        <v>59.2</v>
      </c>
      <c r="E293" s="6">
        <v>38.799999999999997</v>
      </c>
      <c r="F293" s="9">
        <v>58</v>
      </c>
      <c r="G293" s="9">
        <v>40</v>
      </c>
    </row>
    <row r="294" spans="1:7" ht="12" customHeight="1" x14ac:dyDescent="0.2">
      <c r="A294" s="4" t="s">
        <v>590</v>
      </c>
      <c r="B294" s="4" t="s">
        <v>591</v>
      </c>
      <c r="C294" s="5" t="s">
        <v>8</v>
      </c>
      <c r="D294" s="6">
        <v>52.2</v>
      </c>
      <c r="E294" s="6">
        <v>46.1</v>
      </c>
      <c r="F294" s="9">
        <v>52</v>
      </c>
      <c r="G294" s="9">
        <v>47</v>
      </c>
    </row>
    <row r="295" spans="1:7" ht="12" customHeight="1" x14ac:dyDescent="0.2">
      <c r="A295" s="4" t="s">
        <v>592</v>
      </c>
      <c r="B295" s="4" t="s">
        <v>593</v>
      </c>
      <c r="C295" s="5" t="s">
        <v>8</v>
      </c>
      <c r="D295" s="6">
        <v>48.8</v>
      </c>
      <c r="E295" s="6">
        <v>49.2</v>
      </c>
      <c r="F295" s="9">
        <v>49</v>
      </c>
      <c r="G295" s="17">
        <v>49</v>
      </c>
    </row>
    <row r="296" spans="1:7" ht="12" customHeight="1" x14ac:dyDescent="0.2">
      <c r="A296" s="4" t="s">
        <v>594</v>
      </c>
      <c r="B296" s="4" t="s">
        <v>595</v>
      </c>
      <c r="C296" s="5" t="s">
        <v>8</v>
      </c>
      <c r="D296" s="6">
        <v>48.4</v>
      </c>
      <c r="E296" s="6">
        <v>49.6</v>
      </c>
      <c r="F296" s="9">
        <v>50</v>
      </c>
      <c r="G296" s="9">
        <v>49</v>
      </c>
    </row>
    <row r="297" spans="1:7" ht="12" customHeight="1" x14ac:dyDescent="0.2">
      <c r="A297" s="4" t="s">
        <v>596</v>
      </c>
      <c r="B297" s="4" t="s">
        <v>597</v>
      </c>
      <c r="C297" s="5" t="s">
        <v>8</v>
      </c>
      <c r="D297" s="6">
        <v>57</v>
      </c>
      <c r="E297" s="6">
        <v>41.1</v>
      </c>
      <c r="F297" s="9">
        <v>56</v>
      </c>
      <c r="G297" s="9">
        <v>42</v>
      </c>
    </row>
    <row r="298" spans="1:7" ht="12" customHeight="1" x14ac:dyDescent="0.2">
      <c r="A298" s="4" t="s">
        <v>598</v>
      </c>
      <c r="B298" s="4" t="s">
        <v>599</v>
      </c>
      <c r="C298" s="8" t="s">
        <v>23</v>
      </c>
      <c r="D298" s="6">
        <v>58.8</v>
      </c>
      <c r="E298" s="6">
        <v>39.4</v>
      </c>
      <c r="F298" s="9">
        <v>59</v>
      </c>
      <c r="G298" s="9">
        <v>40</v>
      </c>
    </row>
    <row r="299" spans="1:7" ht="12" customHeight="1" x14ac:dyDescent="0.2">
      <c r="A299" s="4" t="s">
        <v>600</v>
      </c>
      <c r="B299" s="4" t="s">
        <v>601</v>
      </c>
      <c r="C299" s="8" t="s">
        <v>23</v>
      </c>
      <c r="D299" s="6">
        <v>63.9</v>
      </c>
      <c r="E299" s="6">
        <v>34.299999999999997</v>
      </c>
      <c r="F299" s="9">
        <v>63</v>
      </c>
      <c r="G299" s="9">
        <v>35</v>
      </c>
    </row>
    <row r="300" spans="1:7" ht="12" customHeight="1" x14ac:dyDescent="0.2">
      <c r="A300" s="4" t="s">
        <v>602</v>
      </c>
      <c r="B300" s="4" t="s">
        <v>603</v>
      </c>
      <c r="C300" s="5" t="s">
        <v>8</v>
      </c>
      <c r="D300" s="6">
        <v>42.9</v>
      </c>
      <c r="E300" s="6">
        <v>55.3</v>
      </c>
      <c r="F300" s="9">
        <v>44</v>
      </c>
      <c r="G300" s="9">
        <v>54</v>
      </c>
    </row>
    <row r="301" spans="1:7" ht="12" customHeight="1" x14ac:dyDescent="0.2">
      <c r="A301" s="4" t="s">
        <v>604</v>
      </c>
      <c r="B301" s="4" t="s">
        <v>605</v>
      </c>
      <c r="C301" s="5" t="s">
        <v>8</v>
      </c>
      <c r="D301" s="6">
        <v>46.3</v>
      </c>
      <c r="E301" s="6">
        <v>52.4</v>
      </c>
      <c r="F301" s="7">
        <v>47.2</v>
      </c>
      <c r="G301" s="7">
        <v>51.8</v>
      </c>
    </row>
    <row r="302" spans="1:7" ht="12" customHeight="1" x14ac:dyDescent="0.2">
      <c r="A302" s="4" t="s">
        <v>606</v>
      </c>
      <c r="B302" s="4" t="s">
        <v>607</v>
      </c>
      <c r="C302" s="5" t="s">
        <v>8</v>
      </c>
      <c r="D302" s="6">
        <v>43.7</v>
      </c>
      <c r="E302" s="6">
        <v>54.7</v>
      </c>
      <c r="F302" s="7">
        <v>44.3</v>
      </c>
      <c r="G302" s="7">
        <v>54.2</v>
      </c>
    </row>
    <row r="303" spans="1:7" ht="12" customHeight="1" x14ac:dyDescent="0.2">
      <c r="A303" s="4" t="s">
        <v>608</v>
      </c>
      <c r="B303" s="4" t="s">
        <v>609</v>
      </c>
      <c r="C303" s="8" t="s">
        <v>23</v>
      </c>
      <c r="D303" s="6">
        <v>69.7</v>
      </c>
      <c r="E303" s="6">
        <v>28.9</v>
      </c>
      <c r="F303" s="7">
        <v>67.400000000000006</v>
      </c>
      <c r="G303" s="7">
        <v>31.3</v>
      </c>
    </row>
    <row r="304" spans="1:7" ht="12" customHeight="1" x14ac:dyDescent="0.2">
      <c r="A304" s="4" t="s">
        <v>610</v>
      </c>
      <c r="B304" s="4" t="s">
        <v>611</v>
      </c>
      <c r="C304" s="5" t="s">
        <v>8</v>
      </c>
      <c r="D304" s="6">
        <v>42</v>
      </c>
      <c r="E304" s="6">
        <v>56</v>
      </c>
      <c r="F304" s="7">
        <v>43.7</v>
      </c>
      <c r="G304" s="7">
        <v>54.4</v>
      </c>
    </row>
    <row r="305" spans="1:7" ht="12" customHeight="1" x14ac:dyDescent="0.2">
      <c r="A305" s="4" t="s">
        <v>612</v>
      </c>
      <c r="B305" s="4" t="s">
        <v>613</v>
      </c>
      <c r="C305" s="5" t="s">
        <v>8</v>
      </c>
      <c r="D305" s="6">
        <v>44.1</v>
      </c>
      <c r="E305" s="6">
        <v>53.9</v>
      </c>
      <c r="F305" s="7">
        <v>46</v>
      </c>
      <c r="G305" s="7">
        <v>52.2</v>
      </c>
    </row>
    <row r="306" spans="1:7" ht="12" customHeight="1" x14ac:dyDescent="0.2">
      <c r="A306" s="4" t="s">
        <v>614</v>
      </c>
      <c r="B306" s="4" t="s">
        <v>615</v>
      </c>
      <c r="C306" s="5" t="s">
        <v>8</v>
      </c>
      <c r="D306" s="6">
        <v>42.7</v>
      </c>
      <c r="E306" s="6">
        <v>55.2</v>
      </c>
      <c r="F306" s="7">
        <v>44.7</v>
      </c>
      <c r="G306" s="7">
        <v>53.1</v>
      </c>
    </row>
    <row r="307" spans="1:7" ht="12" customHeight="1" x14ac:dyDescent="0.2">
      <c r="A307" s="4" t="s">
        <v>616</v>
      </c>
      <c r="B307" s="4" t="s">
        <v>617</v>
      </c>
      <c r="C307" s="5" t="s">
        <v>8</v>
      </c>
      <c r="D307" s="6">
        <v>44.2</v>
      </c>
      <c r="E307" s="6">
        <v>53.7</v>
      </c>
      <c r="F307" s="7">
        <v>46.9</v>
      </c>
      <c r="G307" s="7">
        <v>50.9</v>
      </c>
    </row>
    <row r="308" spans="1:7" ht="12" customHeight="1" x14ac:dyDescent="0.2">
      <c r="A308" s="4" t="s">
        <v>618</v>
      </c>
      <c r="B308" s="4"/>
      <c r="C308" s="5" t="s">
        <v>8</v>
      </c>
      <c r="D308" s="6">
        <v>36.4</v>
      </c>
      <c r="E308" s="6">
        <v>61.9</v>
      </c>
      <c r="F308" s="7">
        <v>38.1</v>
      </c>
      <c r="G308" s="7">
        <v>60.3</v>
      </c>
    </row>
    <row r="309" spans="1:7" ht="12" customHeight="1" x14ac:dyDescent="0.2">
      <c r="A309" s="4" t="s">
        <v>619</v>
      </c>
      <c r="B309" s="4" t="s">
        <v>620</v>
      </c>
      <c r="C309" s="8" t="s">
        <v>23</v>
      </c>
      <c r="D309" s="6">
        <v>67.599999999999994</v>
      </c>
      <c r="E309" s="6">
        <v>30.9</v>
      </c>
      <c r="F309" s="7">
        <v>66.8</v>
      </c>
      <c r="G309" s="7">
        <v>31.6</v>
      </c>
    </row>
    <row r="310" spans="1:7" ht="12" customHeight="1" x14ac:dyDescent="0.2">
      <c r="A310" s="4" t="s">
        <v>621</v>
      </c>
      <c r="B310" s="4" t="s">
        <v>622</v>
      </c>
      <c r="C310" s="5" t="s">
        <v>8</v>
      </c>
      <c r="D310" s="6">
        <v>48.2</v>
      </c>
      <c r="E310" s="6">
        <v>50.1</v>
      </c>
      <c r="F310" s="18">
        <v>49.3</v>
      </c>
      <c r="G310" s="7">
        <v>49.3</v>
      </c>
    </row>
    <row r="311" spans="1:7" ht="12" customHeight="1" x14ac:dyDescent="0.2">
      <c r="A311" s="4" t="s">
        <v>623</v>
      </c>
      <c r="B311" s="4" t="s">
        <v>624</v>
      </c>
      <c r="C311" s="8" t="s">
        <v>23</v>
      </c>
      <c r="D311" s="6">
        <v>82.8</v>
      </c>
      <c r="E311" s="6">
        <v>16.5</v>
      </c>
      <c r="F311" s="7">
        <v>82</v>
      </c>
      <c r="G311" s="7">
        <v>17.2</v>
      </c>
    </row>
    <row r="312" spans="1:7" ht="12" customHeight="1" x14ac:dyDescent="0.2">
      <c r="A312" s="4" t="s">
        <v>625</v>
      </c>
      <c r="B312" s="4" t="s">
        <v>626</v>
      </c>
      <c r="C312" s="5" t="s">
        <v>8</v>
      </c>
      <c r="D312" s="6">
        <v>43.9</v>
      </c>
      <c r="E312" s="6">
        <v>54.4</v>
      </c>
      <c r="F312" s="7">
        <v>44.8</v>
      </c>
      <c r="G312" s="7">
        <v>53.7</v>
      </c>
    </row>
    <row r="313" spans="1:7" ht="12" customHeight="1" x14ac:dyDescent="0.2">
      <c r="A313" s="4" t="s">
        <v>627</v>
      </c>
      <c r="B313" s="4" t="s">
        <v>628</v>
      </c>
      <c r="C313" s="8" t="s">
        <v>23</v>
      </c>
      <c r="D313" s="6">
        <v>62.9</v>
      </c>
      <c r="E313" s="6">
        <v>35.4</v>
      </c>
      <c r="F313" s="7">
        <v>62.3</v>
      </c>
      <c r="G313" s="7">
        <v>35.799999999999997</v>
      </c>
    </row>
    <row r="314" spans="1:7" ht="12" customHeight="1" x14ac:dyDescent="0.2">
      <c r="A314" s="4" t="s">
        <v>629</v>
      </c>
      <c r="B314" s="4" t="s">
        <v>630</v>
      </c>
      <c r="C314" s="5" t="s">
        <v>8</v>
      </c>
      <c r="D314" s="6">
        <v>47.6</v>
      </c>
      <c r="E314" s="6">
        <v>50.9</v>
      </c>
      <c r="F314" s="7">
        <v>49.1</v>
      </c>
      <c r="G314" s="7">
        <v>49.4</v>
      </c>
    </row>
    <row r="315" spans="1:7" ht="12" customHeight="1" x14ac:dyDescent="0.2">
      <c r="A315" s="4" t="s">
        <v>631</v>
      </c>
      <c r="B315" s="4" t="s">
        <v>632</v>
      </c>
      <c r="C315" s="5" t="s">
        <v>8</v>
      </c>
      <c r="D315" s="6">
        <v>46.3</v>
      </c>
      <c r="E315" s="6">
        <v>51.9</v>
      </c>
      <c r="F315" s="7">
        <v>46.1</v>
      </c>
      <c r="G315" s="7">
        <v>52.2</v>
      </c>
    </row>
    <row r="316" spans="1:7" ht="12" customHeight="1" x14ac:dyDescent="0.2">
      <c r="A316" s="4" t="s">
        <v>633</v>
      </c>
      <c r="B316" s="4" t="s">
        <v>634</v>
      </c>
      <c r="C316" s="5" t="s">
        <v>8</v>
      </c>
      <c r="D316" s="6">
        <v>45.2</v>
      </c>
      <c r="E316" s="6">
        <v>53.4</v>
      </c>
      <c r="F316" s="7">
        <v>47.2</v>
      </c>
      <c r="G316" s="7">
        <v>51.3</v>
      </c>
    </row>
    <row r="317" spans="1:7" ht="12" customHeight="1" x14ac:dyDescent="0.2">
      <c r="A317" s="4" t="s">
        <v>635</v>
      </c>
      <c r="B317" s="4" t="s">
        <v>636</v>
      </c>
      <c r="C317" s="5" t="s">
        <v>8</v>
      </c>
      <c r="D317" s="6">
        <v>34.200000000000003</v>
      </c>
      <c r="E317" s="6">
        <v>65.8</v>
      </c>
      <c r="F317" s="7">
        <v>35.799999999999997</v>
      </c>
      <c r="G317" s="7">
        <v>64.2</v>
      </c>
    </row>
    <row r="318" spans="1:7" ht="12" customHeight="1" x14ac:dyDescent="0.2">
      <c r="A318" s="4" t="s">
        <v>637</v>
      </c>
      <c r="B318" s="4" t="s">
        <v>638</v>
      </c>
      <c r="C318" s="5" t="s">
        <v>8</v>
      </c>
      <c r="D318" s="6">
        <v>32.200000000000003</v>
      </c>
      <c r="E318" s="6">
        <v>67.8</v>
      </c>
      <c r="F318" s="7">
        <v>34.299999999999997</v>
      </c>
      <c r="G318" s="7">
        <v>65.7</v>
      </c>
    </row>
    <row r="319" spans="1:7" ht="12" customHeight="1" x14ac:dyDescent="0.2">
      <c r="A319" s="4" t="s">
        <v>639</v>
      </c>
      <c r="B319" s="4" t="s">
        <v>640</v>
      </c>
      <c r="C319" s="5" t="s">
        <v>8</v>
      </c>
      <c r="D319" s="6">
        <v>26.1</v>
      </c>
      <c r="E319" s="6">
        <v>73.900000000000006</v>
      </c>
      <c r="F319" s="7">
        <v>27.1</v>
      </c>
      <c r="G319" s="7">
        <v>72.900000000000006</v>
      </c>
    </row>
    <row r="320" spans="1:7" ht="12" customHeight="1" x14ac:dyDescent="0.2">
      <c r="A320" s="4" t="s">
        <v>641</v>
      </c>
      <c r="B320" s="4" t="s">
        <v>642</v>
      </c>
      <c r="C320" s="5" t="s">
        <v>8</v>
      </c>
      <c r="D320" s="6">
        <v>32.9</v>
      </c>
      <c r="E320" s="6">
        <v>67.099999999999994</v>
      </c>
      <c r="F320" s="7">
        <v>33.9</v>
      </c>
      <c r="G320" s="7">
        <v>66.099999999999994</v>
      </c>
    </row>
    <row r="321" spans="1:7" ht="12" customHeight="1" x14ac:dyDescent="0.2">
      <c r="A321" s="4" t="s">
        <v>643</v>
      </c>
      <c r="B321" s="4" t="s">
        <v>644</v>
      </c>
      <c r="C321" s="5" t="s">
        <v>8</v>
      </c>
      <c r="D321" s="6">
        <v>40.799999999999997</v>
      </c>
      <c r="E321" s="6">
        <v>59.2</v>
      </c>
      <c r="F321" s="7">
        <v>40.799999999999997</v>
      </c>
      <c r="G321" s="7">
        <v>59.2</v>
      </c>
    </row>
    <row r="322" spans="1:7" ht="12" customHeight="1" x14ac:dyDescent="0.2">
      <c r="A322" s="4" t="s">
        <v>645</v>
      </c>
      <c r="B322" s="4" t="s">
        <v>646</v>
      </c>
      <c r="C322" s="8" t="s">
        <v>23</v>
      </c>
      <c r="D322" s="6">
        <v>57.3</v>
      </c>
      <c r="E322" s="6">
        <v>40</v>
      </c>
      <c r="F322" s="7">
        <v>59.6</v>
      </c>
      <c r="G322" s="7">
        <v>37.700000000000003</v>
      </c>
    </row>
    <row r="323" spans="1:7" ht="12" customHeight="1" x14ac:dyDescent="0.2">
      <c r="A323" s="4" t="s">
        <v>647</v>
      </c>
      <c r="B323" s="4" t="s">
        <v>648</v>
      </c>
      <c r="C323" s="5" t="s">
        <v>8</v>
      </c>
      <c r="D323" s="6">
        <v>40.5</v>
      </c>
      <c r="E323" s="6">
        <v>56.8</v>
      </c>
      <c r="F323" s="7">
        <v>43.3</v>
      </c>
      <c r="G323" s="7">
        <v>53.8</v>
      </c>
    </row>
    <row r="324" spans="1:7" ht="12" customHeight="1" x14ac:dyDescent="0.2">
      <c r="A324" s="4" t="s">
        <v>649</v>
      </c>
      <c r="B324" s="4" t="s">
        <v>650</v>
      </c>
      <c r="C324" s="8" t="s">
        <v>23</v>
      </c>
      <c r="D324" s="6">
        <v>72</v>
      </c>
      <c r="E324" s="6">
        <v>24.7</v>
      </c>
      <c r="F324" s="7">
        <v>72.900000000000006</v>
      </c>
      <c r="G324" s="7">
        <v>24.3</v>
      </c>
    </row>
    <row r="325" spans="1:7" ht="12" customHeight="1" x14ac:dyDescent="0.2">
      <c r="A325" s="4" t="s">
        <v>651</v>
      </c>
      <c r="B325" s="4" t="s">
        <v>652</v>
      </c>
      <c r="C325" s="8" t="s">
        <v>23</v>
      </c>
      <c r="D325" s="6">
        <v>51.7</v>
      </c>
      <c r="E325" s="6">
        <v>45</v>
      </c>
      <c r="F325" s="7">
        <v>54.2</v>
      </c>
      <c r="G325" s="7">
        <v>42.7</v>
      </c>
    </row>
    <row r="326" spans="1:7" ht="12" customHeight="1" x14ac:dyDescent="0.2">
      <c r="A326" s="4" t="s">
        <v>653</v>
      </c>
      <c r="B326" s="4" t="s">
        <v>654</v>
      </c>
      <c r="C326" s="8" t="s">
        <v>23</v>
      </c>
      <c r="D326" s="6">
        <v>50.5</v>
      </c>
      <c r="E326" s="6">
        <v>47.1</v>
      </c>
      <c r="F326" s="7">
        <v>53</v>
      </c>
      <c r="G326" s="7">
        <v>44.2</v>
      </c>
    </row>
    <row r="327" spans="1:7" ht="12" customHeight="1" x14ac:dyDescent="0.2">
      <c r="A327" s="4" t="s">
        <v>655</v>
      </c>
      <c r="B327" s="4" t="s">
        <v>656</v>
      </c>
      <c r="C327" s="8" t="s">
        <v>23</v>
      </c>
      <c r="D327" s="7">
        <v>82.3</v>
      </c>
      <c r="E327" s="7">
        <v>16.899999999999999</v>
      </c>
      <c r="F327" s="7">
        <v>78.7</v>
      </c>
      <c r="G327" s="7">
        <v>20.6</v>
      </c>
    </row>
    <row r="328" spans="1:7" ht="12" customHeight="1" x14ac:dyDescent="0.2">
      <c r="A328" s="4" t="s">
        <v>657</v>
      </c>
      <c r="B328" s="4" t="s">
        <v>658</v>
      </c>
      <c r="C328" s="8" t="s">
        <v>23</v>
      </c>
      <c r="D328" s="7">
        <v>90.4</v>
      </c>
      <c r="E328" s="7">
        <v>9</v>
      </c>
      <c r="F328" s="7">
        <v>91</v>
      </c>
      <c r="G328" s="7">
        <v>8.8000000000000007</v>
      </c>
    </row>
    <row r="329" spans="1:7" ht="12" customHeight="1" x14ac:dyDescent="0.2">
      <c r="A329" s="4" t="s">
        <v>659</v>
      </c>
      <c r="B329" s="4" t="s">
        <v>660</v>
      </c>
      <c r="C329" s="5" t="s">
        <v>8</v>
      </c>
      <c r="D329" s="7">
        <v>43</v>
      </c>
      <c r="E329" s="7">
        <v>55.6</v>
      </c>
      <c r="F329" s="7">
        <v>46.3</v>
      </c>
      <c r="G329" s="7">
        <v>52.3</v>
      </c>
    </row>
    <row r="330" spans="1:7" ht="12" customHeight="1" x14ac:dyDescent="0.2">
      <c r="A330" s="4" t="s">
        <v>661</v>
      </c>
      <c r="B330" s="4" t="s">
        <v>662</v>
      </c>
      <c r="C330" s="5" t="s">
        <v>8</v>
      </c>
      <c r="D330" s="7">
        <v>41.5</v>
      </c>
      <c r="E330" s="7">
        <v>57.1</v>
      </c>
      <c r="F330" s="7">
        <v>45.1</v>
      </c>
      <c r="G330" s="7">
        <v>53.8</v>
      </c>
    </row>
    <row r="331" spans="1:7" ht="12" customHeight="1" x14ac:dyDescent="0.2">
      <c r="A331" s="4" t="s">
        <v>663</v>
      </c>
      <c r="B331" s="4" t="s">
        <v>664</v>
      </c>
      <c r="C331" s="5" t="s">
        <v>8</v>
      </c>
      <c r="D331" s="7">
        <v>41.5</v>
      </c>
      <c r="E331" s="7">
        <v>57.1</v>
      </c>
      <c r="F331" s="7">
        <v>47.1</v>
      </c>
      <c r="G331" s="7">
        <v>51.5</v>
      </c>
    </row>
    <row r="332" spans="1:7" ht="12" customHeight="1" x14ac:dyDescent="0.2">
      <c r="A332" s="4" t="s">
        <v>665</v>
      </c>
      <c r="B332" s="4" t="s">
        <v>666</v>
      </c>
      <c r="C332" s="5" t="s">
        <v>8</v>
      </c>
      <c r="D332" s="7">
        <v>48.1</v>
      </c>
      <c r="E332" s="7">
        <v>50.6</v>
      </c>
      <c r="F332" s="7">
        <v>53</v>
      </c>
      <c r="G332" s="7">
        <v>46</v>
      </c>
    </row>
    <row r="333" spans="1:7" ht="12" customHeight="1" x14ac:dyDescent="0.2">
      <c r="A333" s="4" t="s">
        <v>667</v>
      </c>
      <c r="B333" s="4" t="s">
        <v>668</v>
      </c>
      <c r="C333" s="5" t="s">
        <v>8</v>
      </c>
      <c r="D333" s="7">
        <v>48.5</v>
      </c>
      <c r="E333" s="7">
        <v>50.4</v>
      </c>
      <c r="F333" s="7">
        <v>51.2</v>
      </c>
      <c r="G333" s="7">
        <v>47.8</v>
      </c>
    </row>
    <row r="334" spans="1:7" ht="12" customHeight="1" x14ac:dyDescent="0.2">
      <c r="A334" s="4" t="s">
        <v>669</v>
      </c>
      <c r="B334" s="4" t="s">
        <v>670</v>
      </c>
      <c r="C334" s="5" t="s">
        <v>8</v>
      </c>
      <c r="D334" s="7">
        <v>49.3</v>
      </c>
      <c r="E334" s="7">
        <v>49.4</v>
      </c>
      <c r="F334" s="7">
        <v>53.2</v>
      </c>
      <c r="G334" s="7">
        <v>45.7</v>
      </c>
    </row>
    <row r="335" spans="1:7" ht="12" customHeight="1" x14ac:dyDescent="0.2">
      <c r="A335" s="4" t="s">
        <v>671</v>
      </c>
      <c r="B335" s="4" t="s">
        <v>672</v>
      </c>
      <c r="C335" s="5" t="s">
        <v>8</v>
      </c>
      <c r="D335" s="7">
        <v>35.9</v>
      </c>
      <c r="E335" s="7">
        <v>62.8</v>
      </c>
      <c r="F335" s="7">
        <v>40.9</v>
      </c>
      <c r="G335" s="7">
        <v>57.9</v>
      </c>
    </row>
    <row r="336" spans="1:7" ht="12" customHeight="1" x14ac:dyDescent="0.2">
      <c r="A336" s="4" t="s">
        <v>673</v>
      </c>
      <c r="B336" s="4" t="s">
        <v>674</v>
      </c>
      <c r="C336" s="5" t="s">
        <v>8</v>
      </c>
      <c r="D336" s="7">
        <v>38.4</v>
      </c>
      <c r="E336" s="7">
        <v>60.1</v>
      </c>
      <c r="F336" s="7">
        <v>42.3</v>
      </c>
      <c r="G336" s="7">
        <v>56.5</v>
      </c>
    </row>
    <row r="337" spans="1:7" ht="12" customHeight="1" x14ac:dyDescent="0.2">
      <c r="A337" s="4" t="s">
        <v>675</v>
      </c>
      <c r="B337" s="4" t="s">
        <v>676</v>
      </c>
      <c r="C337" s="5" t="s">
        <v>8</v>
      </c>
      <c r="D337" s="7">
        <v>44.5</v>
      </c>
      <c r="E337" s="7">
        <v>53.9</v>
      </c>
      <c r="F337" s="7">
        <v>47.1</v>
      </c>
      <c r="G337" s="7">
        <v>51.7</v>
      </c>
    </row>
    <row r="338" spans="1:7" ht="12" customHeight="1" x14ac:dyDescent="0.2">
      <c r="A338" s="4" t="s">
        <v>677</v>
      </c>
      <c r="B338" s="4" t="s">
        <v>678</v>
      </c>
      <c r="C338" s="5" t="s">
        <v>8</v>
      </c>
      <c r="D338" s="7">
        <v>40.9</v>
      </c>
      <c r="E338" s="7">
        <v>57.8</v>
      </c>
      <c r="F338" s="7">
        <v>44.7</v>
      </c>
      <c r="G338" s="7">
        <v>54.1</v>
      </c>
    </row>
    <row r="339" spans="1:7" ht="12" customHeight="1" x14ac:dyDescent="0.2">
      <c r="A339" s="4" t="s">
        <v>679</v>
      </c>
      <c r="B339" s="4" t="s">
        <v>680</v>
      </c>
      <c r="C339" s="8" t="s">
        <v>23</v>
      </c>
      <c r="D339" s="7">
        <v>66.2</v>
      </c>
      <c r="E339" s="7">
        <v>32.9</v>
      </c>
      <c r="F339" s="7">
        <v>65.400000000000006</v>
      </c>
      <c r="G339" s="7">
        <v>33.700000000000003</v>
      </c>
    </row>
    <row r="340" spans="1:7" ht="12" customHeight="1" x14ac:dyDescent="0.2">
      <c r="A340" s="4" t="s">
        <v>681</v>
      </c>
      <c r="B340" s="4" t="s">
        <v>682</v>
      </c>
      <c r="C340" s="8" t="s">
        <v>23</v>
      </c>
      <c r="D340" s="7">
        <v>68</v>
      </c>
      <c r="E340" s="7">
        <v>30.6</v>
      </c>
      <c r="F340" s="7">
        <v>67</v>
      </c>
      <c r="G340" s="7">
        <v>32</v>
      </c>
    </row>
    <row r="341" spans="1:7" ht="12" customHeight="1" x14ac:dyDescent="0.2">
      <c r="A341" s="4" t="s">
        <v>683</v>
      </c>
      <c r="B341" s="4" t="s">
        <v>684</v>
      </c>
      <c r="C341" s="5" t="s">
        <v>8</v>
      </c>
      <c r="D341" s="7">
        <v>47.9</v>
      </c>
      <c r="E341" s="7">
        <v>50.8</v>
      </c>
      <c r="F341" s="7">
        <v>52.1</v>
      </c>
      <c r="G341" s="7">
        <v>46.6</v>
      </c>
    </row>
    <row r="342" spans="1:7" ht="12" customHeight="1" x14ac:dyDescent="0.2">
      <c r="A342" s="4" t="s">
        <v>685</v>
      </c>
      <c r="B342" s="4" t="s">
        <v>686</v>
      </c>
      <c r="C342" s="5" t="s">
        <v>8</v>
      </c>
      <c r="D342" s="7">
        <v>46.3</v>
      </c>
      <c r="E342" s="7">
        <v>52.4</v>
      </c>
      <c r="F342" s="7">
        <v>50.1</v>
      </c>
      <c r="G342" s="7">
        <v>49</v>
      </c>
    </row>
    <row r="343" spans="1:7" ht="12" customHeight="1" x14ac:dyDescent="0.2">
      <c r="A343" s="4" t="s">
        <v>687</v>
      </c>
      <c r="B343" s="4" t="s">
        <v>688</v>
      </c>
      <c r="C343" s="8" t="s">
        <v>23</v>
      </c>
      <c r="D343" s="7">
        <v>55.4</v>
      </c>
      <c r="E343" s="7">
        <v>43.3</v>
      </c>
      <c r="F343" s="7">
        <v>56.9</v>
      </c>
      <c r="G343" s="7">
        <v>41.9</v>
      </c>
    </row>
    <row r="344" spans="1:7" ht="12" customHeight="1" x14ac:dyDescent="0.2">
      <c r="A344" s="4" t="s">
        <v>689</v>
      </c>
      <c r="B344" s="4" t="s">
        <v>690</v>
      </c>
      <c r="C344" s="5" t="s">
        <v>8</v>
      </c>
      <c r="D344" s="6">
        <v>41</v>
      </c>
      <c r="E344" s="6">
        <v>57.9</v>
      </c>
      <c r="F344" s="7">
        <v>43.8</v>
      </c>
      <c r="G344" s="7">
        <v>55.2</v>
      </c>
    </row>
    <row r="345" spans="1:7" ht="12" customHeight="1" x14ac:dyDescent="0.2">
      <c r="A345" s="4" t="s">
        <v>691</v>
      </c>
      <c r="B345" s="4" t="s">
        <v>692</v>
      </c>
      <c r="C345" s="8" t="s">
        <v>23</v>
      </c>
      <c r="D345" s="6">
        <v>66.2</v>
      </c>
      <c r="E345" s="6">
        <v>32.200000000000003</v>
      </c>
      <c r="F345" s="7">
        <v>66.599999999999994</v>
      </c>
      <c r="G345" s="7">
        <v>31.8</v>
      </c>
    </row>
    <row r="346" spans="1:7" ht="12" customHeight="1" x14ac:dyDescent="0.2">
      <c r="A346" s="4" t="s">
        <v>693</v>
      </c>
      <c r="B346" s="4" t="s">
        <v>694</v>
      </c>
      <c r="C346" s="8" t="s">
        <v>23</v>
      </c>
      <c r="D346" s="6">
        <v>59.8</v>
      </c>
      <c r="E346" s="6">
        <v>38.299999999999997</v>
      </c>
      <c r="F346" s="7">
        <v>59.9</v>
      </c>
      <c r="G346" s="7">
        <v>38.299999999999997</v>
      </c>
    </row>
    <row r="347" spans="1:7" ht="12" customHeight="1" x14ac:dyDescent="0.2">
      <c r="A347" s="4" t="s">
        <v>695</v>
      </c>
      <c r="B347" s="4" t="s">
        <v>696</v>
      </c>
      <c r="C347" s="5" t="s">
        <v>8</v>
      </c>
      <c r="D347" s="6">
        <v>40.200000000000003</v>
      </c>
      <c r="E347" s="6">
        <v>58.3</v>
      </c>
      <c r="F347" s="7">
        <v>42.7</v>
      </c>
      <c r="G347" s="7">
        <v>56.1</v>
      </c>
    </row>
    <row r="348" spans="1:7" ht="12" customHeight="1" x14ac:dyDescent="0.2">
      <c r="A348" s="4" t="s">
        <v>697</v>
      </c>
      <c r="B348" s="4" t="s">
        <v>698</v>
      </c>
      <c r="C348" s="5" t="s">
        <v>8</v>
      </c>
      <c r="D348" s="6">
        <v>39.4</v>
      </c>
      <c r="E348" s="6">
        <v>59.1</v>
      </c>
      <c r="F348" s="7">
        <v>39.4</v>
      </c>
      <c r="G348" s="7">
        <v>59.5</v>
      </c>
    </row>
    <row r="349" spans="1:7" ht="12" customHeight="1" x14ac:dyDescent="0.2">
      <c r="A349" s="4" t="s">
        <v>699</v>
      </c>
      <c r="B349" s="4" t="s">
        <v>700</v>
      </c>
      <c r="C349" s="5" t="s">
        <v>8</v>
      </c>
      <c r="D349" s="6">
        <v>33.9</v>
      </c>
      <c r="E349" s="6">
        <v>64.5</v>
      </c>
      <c r="F349" s="7">
        <v>35.1</v>
      </c>
      <c r="G349" s="7">
        <v>63.5</v>
      </c>
    </row>
    <row r="350" spans="1:7" ht="12" customHeight="1" x14ac:dyDescent="0.2">
      <c r="A350" s="4" t="s">
        <v>701</v>
      </c>
      <c r="B350" s="4" t="s">
        <v>702</v>
      </c>
      <c r="C350" s="5" t="s">
        <v>8</v>
      </c>
      <c r="D350" s="6">
        <v>36.200000000000003</v>
      </c>
      <c r="E350" s="6">
        <v>62.2</v>
      </c>
      <c r="F350" s="7">
        <v>37.700000000000003</v>
      </c>
      <c r="G350" s="7">
        <v>60.6</v>
      </c>
    </row>
    <row r="351" spans="1:7" ht="12" customHeight="1" x14ac:dyDescent="0.2">
      <c r="A351" s="4" t="s">
        <v>703</v>
      </c>
      <c r="B351" s="4" t="s">
        <v>704</v>
      </c>
      <c r="C351" s="5" t="s">
        <v>8</v>
      </c>
      <c r="D351" s="6">
        <v>43.6</v>
      </c>
      <c r="E351" s="6">
        <v>55.1</v>
      </c>
      <c r="F351" s="7">
        <v>43.8</v>
      </c>
      <c r="G351" s="7">
        <v>55</v>
      </c>
    </row>
    <row r="352" spans="1:7" ht="12" customHeight="1" x14ac:dyDescent="0.2">
      <c r="A352" s="4" t="s">
        <v>705</v>
      </c>
      <c r="B352" s="4" t="s">
        <v>706</v>
      </c>
      <c r="C352" s="8" t="s">
        <v>23</v>
      </c>
      <c r="D352" s="6">
        <v>70.900000000000006</v>
      </c>
      <c r="E352" s="6">
        <v>28.1</v>
      </c>
      <c r="F352" s="7">
        <v>70.099999999999994</v>
      </c>
      <c r="G352" s="7">
        <v>28.9</v>
      </c>
    </row>
    <row r="353" spans="1:7" ht="12" customHeight="1" x14ac:dyDescent="0.2">
      <c r="A353" s="4" t="s">
        <v>707</v>
      </c>
      <c r="B353" s="4" t="s">
        <v>708</v>
      </c>
      <c r="C353" s="5" t="s">
        <v>8</v>
      </c>
      <c r="D353" s="6">
        <v>44.4</v>
      </c>
      <c r="E353" s="6">
        <v>54.5</v>
      </c>
      <c r="F353" s="7">
        <v>45.3</v>
      </c>
      <c r="G353" s="7">
        <v>53.6</v>
      </c>
    </row>
    <row r="354" spans="1:7" ht="12" customHeight="1" x14ac:dyDescent="0.2">
      <c r="A354" s="4" t="s">
        <v>709</v>
      </c>
      <c r="B354" s="4" t="s">
        <v>710</v>
      </c>
      <c r="C354" s="5" t="s">
        <v>8</v>
      </c>
      <c r="D354" s="6">
        <v>39.9</v>
      </c>
      <c r="E354" s="6">
        <v>57.9</v>
      </c>
      <c r="F354" s="7">
        <v>44.7</v>
      </c>
      <c r="G354" s="7">
        <v>53.2</v>
      </c>
    </row>
    <row r="355" spans="1:7" ht="12" customHeight="1" x14ac:dyDescent="0.2">
      <c r="A355" s="4" t="s">
        <v>711</v>
      </c>
      <c r="B355" s="4" t="s">
        <v>712</v>
      </c>
      <c r="C355" s="5" t="s">
        <v>8</v>
      </c>
      <c r="D355" s="6">
        <v>25.7</v>
      </c>
      <c r="E355" s="6">
        <v>72.7</v>
      </c>
      <c r="F355" s="7">
        <v>28.6</v>
      </c>
      <c r="G355" s="7">
        <v>69.900000000000006</v>
      </c>
    </row>
    <row r="356" spans="1:7" ht="12" customHeight="1" x14ac:dyDescent="0.2">
      <c r="A356" s="4" t="s">
        <v>713</v>
      </c>
      <c r="B356" s="4" t="s">
        <v>714</v>
      </c>
      <c r="C356" s="5" t="s">
        <v>8</v>
      </c>
      <c r="D356" s="6">
        <v>30.9</v>
      </c>
      <c r="E356" s="6">
        <v>67.3</v>
      </c>
      <c r="F356" s="7">
        <v>34.5</v>
      </c>
      <c r="G356" s="7">
        <v>64</v>
      </c>
    </row>
    <row r="357" spans="1:7" ht="12" customHeight="1" x14ac:dyDescent="0.2">
      <c r="A357" s="4" t="s">
        <v>715</v>
      </c>
      <c r="B357" s="4" t="s">
        <v>716</v>
      </c>
      <c r="C357" s="5" t="s">
        <v>8</v>
      </c>
      <c r="D357" s="6">
        <v>35.1</v>
      </c>
      <c r="E357" s="6">
        <v>63.3</v>
      </c>
      <c r="F357" s="7">
        <v>37.299999999999997</v>
      </c>
      <c r="G357" s="7">
        <v>61.3</v>
      </c>
    </row>
    <row r="358" spans="1:7" ht="12" customHeight="1" x14ac:dyDescent="0.2">
      <c r="A358" s="4" t="s">
        <v>717</v>
      </c>
      <c r="B358" s="4" t="s">
        <v>718</v>
      </c>
      <c r="C358" s="5" t="s">
        <v>8</v>
      </c>
      <c r="D358" s="6">
        <v>33.1</v>
      </c>
      <c r="E358" s="6">
        <v>65.3</v>
      </c>
      <c r="F358" s="7">
        <v>35.799999999999997</v>
      </c>
      <c r="G358" s="7">
        <v>62.6</v>
      </c>
    </row>
    <row r="359" spans="1:7" ht="12" customHeight="1" x14ac:dyDescent="0.2">
      <c r="A359" s="4" t="s">
        <v>719</v>
      </c>
      <c r="B359" s="4" t="s">
        <v>720</v>
      </c>
      <c r="C359" s="8" t="s">
        <v>23</v>
      </c>
      <c r="D359" s="6">
        <v>55.9</v>
      </c>
      <c r="E359" s="6">
        <v>42.5</v>
      </c>
      <c r="F359" s="7">
        <v>57.5</v>
      </c>
      <c r="G359" s="7">
        <v>41.3</v>
      </c>
    </row>
    <row r="360" spans="1:7" ht="12" customHeight="1" x14ac:dyDescent="0.2">
      <c r="A360" s="4" t="s">
        <v>721</v>
      </c>
      <c r="B360" s="4" t="s">
        <v>722</v>
      </c>
      <c r="C360" s="5" t="s">
        <v>8</v>
      </c>
      <c r="D360" s="6">
        <v>29.5</v>
      </c>
      <c r="E360" s="6">
        <v>69.099999999999994</v>
      </c>
      <c r="F360" s="7">
        <v>33.5</v>
      </c>
      <c r="G360" s="7">
        <v>64.900000000000006</v>
      </c>
    </row>
    <row r="361" spans="1:7" ht="12" customHeight="1" x14ac:dyDescent="0.2">
      <c r="A361" s="4" t="s">
        <v>723</v>
      </c>
      <c r="B361" s="4" t="s">
        <v>724</v>
      </c>
      <c r="C361" s="5" t="s">
        <v>8</v>
      </c>
      <c r="D361" s="6">
        <v>32.9</v>
      </c>
      <c r="E361" s="6">
        <v>65.7</v>
      </c>
      <c r="F361" s="7">
        <v>36.299999999999997</v>
      </c>
      <c r="G361" s="7">
        <v>62.4</v>
      </c>
    </row>
    <row r="362" spans="1:7" ht="12" customHeight="1" x14ac:dyDescent="0.2">
      <c r="A362" s="4" t="s">
        <v>725</v>
      </c>
      <c r="B362" s="4" t="s">
        <v>726</v>
      </c>
      <c r="C362" s="5" t="s">
        <v>8</v>
      </c>
      <c r="D362" s="6">
        <v>32.799999999999997</v>
      </c>
      <c r="E362" s="6">
        <v>66.099999999999994</v>
      </c>
      <c r="F362" s="7">
        <v>34.9</v>
      </c>
      <c r="G362" s="7">
        <v>64.099999999999994</v>
      </c>
    </row>
    <row r="363" spans="1:7" ht="12" customHeight="1" x14ac:dyDescent="0.2">
      <c r="A363" s="4" t="s">
        <v>727</v>
      </c>
      <c r="B363" s="4" t="s">
        <v>728</v>
      </c>
      <c r="C363" s="8" t="s">
        <v>23</v>
      </c>
      <c r="D363" s="6">
        <v>78.3</v>
      </c>
      <c r="E363" s="6">
        <v>20.9</v>
      </c>
      <c r="F363" s="7">
        <v>77</v>
      </c>
      <c r="G363" s="7">
        <v>22.5</v>
      </c>
    </row>
    <row r="364" spans="1:7" ht="12" customHeight="1" x14ac:dyDescent="0.2">
      <c r="A364" s="4" t="s">
        <v>729</v>
      </c>
      <c r="B364" s="4" t="s">
        <v>730</v>
      </c>
      <c r="C364" s="5" t="s">
        <v>8</v>
      </c>
      <c r="D364" s="6">
        <v>27.5</v>
      </c>
      <c r="E364" s="6">
        <v>71.599999999999994</v>
      </c>
      <c r="F364" s="9">
        <v>30</v>
      </c>
      <c r="G364" s="9">
        <v>69</v>
      </c>
    </row>
    <row r="365" spans="1:7" ht="12" customHeight="1" x14ac:dyDescent="0.2">
      <c r="A365" s="4" t="s">
        <v>731</v>
      </c>
      <c r="B365" s="4" t="s">
        <v>732</v>
      </c>
      <c r="C365" s="5" t="s">
        <v>8</v>
      </c>
      <c r="D365" s="6">
        <v>35.6</v>
      </c>
      <c r="E365" s="6">
        <v>62.9</v>
      </c>
      <c r="F365" s="9">
        <v>37</v>
      </c>
      <c r="G365" s="9">
        <v>62</v>
      </c>
    </row>
    <row r="366" spans="1:7" ht="12" customHeight="1" x14ac:dyDescent="0.2">
      <c r="A366" s="4" t="s">
        <v>733</v>
      </c>
      <c r="B366" s="4" t="s">
        <v>734</v>
      </c>
      <c r="C366" s="5" t="s">
        <v>8</v>
      </c>
      <c r="D366" s="6">
        <v>34.200000000000003</v>
      </c>
      <c r="E366" s="6">
        <v>64.3</v>
      </c>
      <c r="F366" s="9">
        <v>37</v>
      </c>
      <c r="G366" s="9">
        <v>61</v>
      </c>
    </row>
    <row r="367" spans="1:7" ht="12" customHeight="1" x14ac:dyDescent="0.2">
      <c r="A367" s="4" t="s">
        <v>735</v>
      </c>
      <c r="B367" s="4" t="s">
        <v>736</v>
      </c>
      <c r="C367" s="5" t="s">
        <v>8</v>
      </c>
      <c r="D367" s="6">
        <v>24.8</v>
      </c>
      <c r="E367" s="6">
        <v>74</v>
      </c>
      <c r="F367" s="9">
        <v>29</v>
      </c>
      <c r="G367" s="9">
        <v>70</v>
      </c>
    </row>
    <row r="368" spans="1:7" ht="12" customHeight="1" x14ac:dyDescent="0.2">
      <c r="A368" s="4" t="s">
        <v>737</v>
      </c>
      <c r="B368" s="4" t="s">
        <v>738</v>
      </c>
      <c r="C368" s="5" t="s">
        <v>8</v>
      </c>
      <c r="D368" s="6">
        <v>34.4</v>
      </c>
      <c r="E368" s="6">
        <v>64.5</v>
      </c>
      <c r="F368" s="9">
        <v>37</v>
      </c>
      <c r="G368" s="9">
        <v>62</v>
      </c>
    </row>
    <row r="369" spans="1:7" ht="12" customHeight="1" x14ac:dyDescent="0.2">
      <c r="A369" s="4" t="s">
        <v>739</v>
      </c>
      <c r="B369" s="4" t="s">
        <v>740</v>
      </c>
      <c r="C369" s="5" t="s">
        <v>8</v>
      </c>
      <c r="D369" s="6">
        <v>40.799999999999997</v>
      </c>
      <c r="E369" s="6">
        <v>57.9</v>
      </c>
      <c r="F369" s="9">
        <v>42</v>
      </c>
      <c r="G369" s="9">
        <v>57</v>
      </c>
    </row>
    <row r="370" spans="1:7" ht="12" customHeight="1" x14ac:dyDescent="0.2">
      <c r="A370" s="4" t="s">
        <v>741</v>
      </c>
      <c r="B370" s="4" t="s">
        <v>742</v>
      </c>
      <c r="C370" s="5" t="s">
        <v>8</v>
      </c>
      <c r="D370" s="6">
        <v>38.6</v>
      </c>
      <c r="E370" s="6">
        <v>59.9</v>
      </c>
      <c r="F370" s="9">
        <v>40</v>
      </c>
      <c r="G370" s="9">
        <v>59</v>
      </c>
    </row>
    <row r="371" spans="1:7" ht="12" customHeight="1" x14ac:dyDescent="0.2">
      <c r="A371" s="4" t="s">
        <v>743</v>
      </c>
      <c r="B371" s="4" t="s">
        <v>744</v>
      </c>
      <c r="C371" s="5" t="s">
        <v>8</v>
      </c>
      <c r="D371" s="6">
        <v>21.7</v>
      </c>
      <c r="E371" s="6">
        <v>77</v>
      </c>
      <c r="F371" s="9">
        <v>26</v>
      </c>
      <c r="G371" s="9">
        <v>73</v>
      </c>
    </row>
    <row r="372" spans="1:7" ht="12" customHeight="1" x14ac:dyDescent="0.2">
      <c r="A372" s="4" t="s">
        <v>745</v>
      </c>
      <c r="B372" s="4" t="s">
        <v>746</v>
      </c>
      <c r="C372" s="8" t="s">
        <v>23</v>
      </c>
      <c r="D372" s="6">
        <v>78</v>
      </c>
      <c r="E372" s="6">
        <v>21.1</v>
      </c>
      <c r="F372" s="9">
        <v>76</v>
      </c>
      <c r="G372" s="9">
        <v>23</v>
      </c>
    </row>
    <row r="373" spans="1:7" ht="12" customHeight="1" x14ac:dyDescent="0.2">
      <c r="A373" s="4" t="s">
        <v>747</v>
      </c>
      <c r="B373" s="4" t="s">
        <v>748</v>
      </c>
      <c r="C373" s="5" t="s">
        <v>8</v>
      </c>
      <c r="D373" s="6">
        <v>38.799999999999997</v>
      </c>
      <c r="E373" s="6">
        <v>59.1</v>
      </c>
      <c r="F373" s="9">
        <v>43</v>
      </c>
      <c r="G373" s="9">
        <v>56</v>
      </c>
    </row>
    <row r="374" spans="1:7" ht="12" customHeight="1" x14ac:dyDescent="0.2">
      <c r="A374" s="4" t="s">
        <v>749</v>
      </c>
      <c r="B374" s="4" t="s">
        <v>750</v>
      </c>
      <c r="C374" s="5" t="s">
        <v>8</v>
      </c>
      <c r="D374" s="6">
        <v>19.600000000000001</v>
      </c>
      <c r="E374" s="6">
        <v>79.2</v>
      </c>
      <c r="F374" s="9">
        <v>23</v>
      </c>
      <c r="G374" s="9">
        <v>76</v>
      </c>
    </row>
    <row r="375" spans="1:7" ht="12" customHeight="1" x14ac:dyDescent="0.2">
      <c r="A375" s="4" t="s">
        <v>751</v>
      </c>
      <c r="B375" s="4" t="s">
        <v>752</v>
      </c>
      <c r="C375" s="5" t="s">
        <v>8</v>
      </c>
      <c r="D375" s="6">
        <v>31.7</v>
      </c>
      <c r="E375" s="6">
        <v>66.8</v>
      </c>
      <c r="F375" s="9">
        <v>35</v>
      </c>
      <c r="G375" s="9">
        <v>64</v>
      </c>
    </row>
    <row r="376" spans="1:7" ht="12" customHeight="1" x14ac:dyDescent="0.2">
      <c r="A376" s="4" t="s">
        <v>753</v>
      </c>
      <c r="B376" s="4" t="s">
        <v>754</v>
      </c>
      <c r="C376" s="5" t="s">
        <v>8</v>
      </c>
      <c r="D376" s="6">
        <v>18.5</v>
      </c>
      <c r="E376" s="6">
        <v>80.2</v>
      </c>
      <c r="F376" s="9">
        <v>22</v>
      </c>
      <c r="G376" s="9">
        <v>77</v>
      </c>
    </row>
    <row r="377" spans="1:7" ht="12" customHeight="1" x14ac:dyDescent="0.2">
      <c r="A377" s="4" t="s">
        <v>755</v>
      </c>
      <c r="B377" s="4" t="s">
        <v>756</v>
      </c>
      <c r="C377" s="5" t="s">
        <v>8</v>
      </c>
      <c r="D377" s="6">
        <v>39.5</v>
      </c>
      <c r="E377" s="6">
        <v>59.3</v>
      </c>
      <c r="F377" s="9">
        <v>42</v>
      </c>
      <c r="G377" s="9">
        <v>57</v>
      </c>
    </row>
    <row r="378" spans="1:7" ht="12" customHeight="1" x14ac:dyDescent="0.2">
      <c r="A378" s="4" t="s">
        <v>757</v>
      </c>
      <c r="B378" s="4" t="s">
        <v>758</v>
      </c>
      <c r="C378" s="8" t="s">
        <v>23</v>
      </c>
      <c r="D378" s="7">
        <v>57.4</v>
      </c>
      <c r="E378" s="7">
        <v>41.5</v>
      </c>
      <c r="F378" s="9">
        <v>57</v>
      </c>
      <c r="G378" s="9">
        <v>42</v>
      </c>
    </row>
    <row r="379" spans="1:7" ht="12" customHeight="1" x14ac:dyDescent="0.2">
      <c r="A379" s="4" t="s">
        <v>759</v>
      </c>
      <c r="B379" s="4" t="s">
        <v>760</v>
      </c>
      <c r="C379" s="8" t="s">
        <v>23</v>
      </c>
      <c r="D379" s="7">
        <v>64.2</v>
      </c>
      <c r="E379" s="7">
        <v>34.5</v>
      </c>
      <c r="F379" s="9">
        <v>64</v>
      </c>
      <c r="G379" s="9">
        <v>35</v>
      </c>
    </row>
    <row r="380" spans="1:7" ht="12" customHeight="1" x14ac:dyDescent="0.2">
      <c r="A380" s="4" t="s">
        <v>761</v>
      </c>
      <c r="B380" s="4" t="s">
        <v>762</v>
      </c>
      <c r="C380" s="5" t="s">
        <v>8</v>
      </c>
      <c r="D380" s="7">
        <v>37.700000000000003</v>
      </c>
      <c r="E380" s="7">
        <v>60.4</v>
      </c>
      <c r="F380" s="9">
        <v>41</v>
      </c>
      <c r="G380" s="9">
        <v>58</v>
      </c>
    </row>
    <row r="381" spans="1:7" ht="12" customHeight="1" x14ac:dyDescent="0.2">
      <c r="A381" s="4" t="s">
        <v>763</v>
      </c>
      <c r="B381" s="4" t="s">
        <v>764</v>
      </c>
      <c r="C381" s="8" t="s">
        <v>23</v>
      </c>
      <c r="D381" s="7">
        <v>76.099999999999994</v>
      </c>
      <c r="E381" s="7">
        <v>22.8</v>
      </c>
      <c r="F381" s="9">
        <v>77</v>
      </c>
      <c r="G381" s="9">
        <v>23</v>
      </c>
    </row>
    <row r="382" spans="1:7" ht="12" customHeight="1" x14ac:dyDescent="0.2">
      <c r="A382" s="4" t="s">
        <v>765</v>
      </c>
      <c r="B382" s="4" t="s">
        <v>766</v>
      </c>
      <c r="C382" s="5" t="s">
        <v>8</v>
      </c>
      <c r="D382" s="7">
        <v>25</v>
      </c>
      <c r="E382" s="7">
        <v>73.599999999999994</v>
      </c>
      <c r="F382" s="9">
        <v>28</v>
      </c>
      <c r="G382" s="9">
        <v>71</v>
      </c>
    </row>
    <row r="383" spans="1:7" ht="12" customHeight="1" x14ac:dyDescent="0.2">
      <c r="A383" s="4" t="s">
        <v>767</v>
      </c>
      <c r="B383" s="4" t="s">
        <v>768</v>
      </c>
      <c r="C383" s="8" t="s">
        <v>23</v>
      </c>
      <c r="D383" s="7">
        <v>58.9</v>
      </c>
      <c r="E383" s="7">
        <v>39.700000000000003</v>
      </c>
      <c r="F383" s="9">
        <v>58</v>
      </c>
      <c r="G383" s="9">
        <v>41</v>
      </c>
    </row>
    <row r="384" spans="1:7" ht="12" customHeight="1" x14ac:dyDescent="0.2">
      <c r="A384" s="4" t="s">
        <v>769</v>
      </c>
      <c r="B384" s="4" t="s">
        <v>770</v>
      </c>
      <c r="C384" s="5" t="s">
        <v>8</v>
      </c>
      <c r="D384" s="7">
        <v>37.9</v>
      </c>
      <c r="E384" s="7">
        <v>59.8</v>
      </c>
      <c r="F384" s="9">
        <v>42</v>
      </c>
      <c r="G384" s="9">
        <v>56</v>
      </c>
    </row>
    <row r="385" spans="1:7" ht="12" customHeight="1" x14ac:dyDescent="0.2">
      <c r="A385" s="4" t="s">
        <v>771</v>
      </c>
      <c r="B385" s="4" t="s">
        <v>772</v>
      </c>
      <c r="C385" s="5" t="s">
        <v>8</v>
      </c>
      <c r="D385" s="7">
        <v>36.700000000000003</v>
      </c>
      <c r="E385" s="7">
        <v>62.1</v>
      </c>
      <c r="F385" s="9">
        <v>39</v>
      </c>
      <c r="G385" s="9">
        <v>60</v>
      </c>
    </row>
    <row r="386" spans="1:7" ht="12" customHeight="1" x14ac:dyDescent="0.2">
      <c r="A386" s="4" t="s">
        <v>773</v>
      </c>
      <c r="B386" s="4" t="s">
        <v>774</v>
      </c>
      <c r="C386" s="5" t="s">
        <v>8</v>
      </c>
      <c r="D386" s="7">
        <v>48.1</v>
      </c>
      <c r="E386" s="7">
        <v>50.7</v>
      </c>
      <c r="F386" s="9">
        <v>50</v>
      </c>
      <c r="G386" s="9">
        <v>49</v>
      </c>
    </row>
    <row r="387" spans="1:7" ht="12" customHeight="1" x14ac:dyDescent="0.2">
      <c r="A387" s="4" t="s">
        <v>775</v>
      </c>
      <c r="B387" s="4" t="s">
        <v>776</v>
      </c>
      <c r="C387" s="5" t="s">
        <v>8</v>
      </c>
      <c r="D387" s="7">
        <v>38</v>
      </c>
      <c r="E387" s="7">
        <v>60.4</v>
      </c>
      <c r="F387" s="9">
        <v>41</v>
      </c>
      <c r="G387" s="9">
        <v>58</v>
      </c>
    </row>
    <row r="388" spans="1:7" ht="12" customHeight="1" x14ac:dyDescent="0.2">
      <c r="A388" s="4" t="s">
        <v>777</v>
      </c>
      <c r="B388" s="4" t="s">
        <v>778</v>
      </c>
      <c r="C388" s="5" t="s">
        <v>8</v>
      </c>
      <c r="D388" s="7">
        <v>37.799999999999997</v>
      </c>
      <c r="E388" s="7">
        <v>59.9</v>
      </c>
      <c r="F388" s="9">
        <v>43</v>
      </c>
      <c r="G388" s="9">
        <v>56</v>
      </c>
    </row>
    <row r="389" spans="1:7" ht="12" customHeight="1" x14ac:dyDescent="0.2">
      <c r="A389" s="4" t="s">
        <v>779</v>
      </c>
      <c r="B389" s="4" t="s">
        <v>780</v>
      </c>
      <c r="C389" s="5" t="s">
        <v>8</v>
      </c>
      <c r="D389" s="7">
        <v>30.7</v>
      </c>
      <c r="E389" s="7">
        <v>67.599999999999994</v>
      </c>
      <c r="F389" s="9">
        <v>35</v>
      </c>
      <c r="G389" s="9">
        <v>64</v>
      </c>
    </row>
    <row r="390" spans="1:7" ht="12" customHeight="1" x14ac:dyDescent="0.2">
      <c r="A390" s="4" t="s">
        <v>781</v>
      </c>
      <c r="B390" s="4" t="s">
        <v>782</v>
      </c>
      <c r="C390" s="5" t="s">
        <v>8</v>
      </c>
      <c r="D390" s="7">
        <v>38.200000000000003</v>
      </c>
      <c r="E390" s="7">
        <v>60.5</v>
      </c>
      <c r="F390" s="9">
        <v>40</v>
      </c>
      <c r="G390" s="9">
        <v>59</v>
      </c>
    </row>
    <row r="391" spans="1:7" ht="12" customHeight="1" x14ac:dyDescent="0.2">
      <c r="A391" s="4" t="s">
        <v>783</v>
      </c>
      <c r="B391" s="4" t="s">
        <v>784</v>
      </c>
      <c r="C391" s="8" t="s">
        <v>23</v>
      </c>
      <c r="D391" s="7">
        <v>60.3</v>
      </c>
      <c r="E391" s="7">
        <v>38.700000000000003</v>
      </c>
      <c r="F391" s="9">
        <v>58</v>
      </c>
      <c r="G391" s="9">
        <v>41</v>
      </c>
    </row>
    <row r="392" spans="1:7" ht="12" customHeight="1" x14ac:dyDescent="0.2">
      <c r="A392" s="4" t="s">
        <v>785</v>
      </c>
      <c r="B392" s="4" t="s">
        <v>786</v>
      </c>
      <c r="C392" s="8" t="s">
        <v>23</v>
      </c>
      <c r="D392" s="7">
        <v>65.900000000000006</v>
      </c>
      <c r="E392" s="7">
        <v>33</v>
      </c>
      <c r="F392" s="9">
        <v>62</v>
      </c>
      <c r="G392" s="9">
        <v>37</v>
      </c>
    </row>
    <row r="393" spans="1:7" ht="12" customHeight="1" x14ac:dyDescent="0.2">
      <c r="A393" s="4" t="s">
        <v>787</v>
      </c>
      <c r="B393" s="4" t="s">
        <v>788</v>
      </c>
      <c r="C393" s="8" t="s">
        <v>23</v>
      </c>
      <c r="D393" s="7">
        <v>79.599999999999994</v>
      </c>
      <c r="E393" s="7">
        <v>19.600000000000001</v>
      </c>
      <c r="F393" s="9">
        <v>78</v>
      </c>
      <c r="G393" s="9">
        <v>21</v>
      </c>
    </row>
    <row r="394" spans="1:7" ht="12" customHeight="1" x14ac:dyDescent="0.2">
      <c r="A394" s="4" t="s">
        <v>789</v>
      </c>
      <c r="B394" s="4" t="s">
        <v>790</v>
      </c>
      <c r="C394" s="5" t="s">
        <v>8</v>
      </c>
      <c r="D394" s="7">
        <v>38.299999999999997</v>
      </c>
      <c r="E394" s="7">
        <v>59.6</v>
      </c>
      <c r="F394" s="9">
        <v>43</v>
      </c>
      <c r="G394" s="9">
        <v>56</v>
      </c>
    </row>
    <row r="395" spans="1:7" ht="12" customHeight="1" x14ac:dyDescent="0.2">
      <c r="A395" s="4" t="s">
        <v>791</v>
      </c>
      <c r="B395" s="4" t="s">
        <v>792</v>
      </c>
      <c r="C395" s="5" t="s">
        <v>8</v>
      </c>
      <c r="D395" s="7">
        <v>41.5</v>
      </c>
      <c r="E395" s="7">
        <v>57</v>
      </c>
      <c r="F395" s="9">
        <v>44</v>
      </c>
      <c r="G395" s="9">
        <v>55</v>
      </c>
    </row>
    <row r="396" spans="1:7" ht="12" customHeight="1" x14ac:dyDescent="0.2">
      <c r="A396" s="4" t="s">
        <v>793</v>
      </c>
      <c r="B396" s="4" t="s">
        <v>794</v>
      </c>
      <c r="C396" s="8" t="s">
        <v>23</v>
      </c>
      <c r="D396" s="7">
        <v>72</v>
      </c>
      <c r="E396" s="7">
        <v>27.1</v>
      </c>
      <c r="F396" s="9">
        <v>69</v>
      </c>
      <c r="G396" s="9">
        <v>31</v>
      </c>
    </row>
    <row r="397" spans="1:7" ht="12" customHeight="1" x14ac:dyDescent="0.2">
      <c r="A397" s="4" t="s">
        <v>795</v>
      </c>
      <c r="B397" s="4" t="s">
        <v>796</v>
      </c>
      <c r="C397" s="8" t="s">
        <v>23</v>
      </c>
      <c r="D397" s="7">
        <v>60.8</v>
      </c>
      <c r="E397" s="7">
        <v>38.299999999999997</v>
      </c>
      <c r="F397" s="9">
        <v>60</v>
      </c>
      <c r="G397" s="9">
        <v>39</v>
      </c>
    </row>
    <row r="398" spans="1:7" ht="12" customHeight="1" x14ac:dyDescent="0.2">
      <c r="A398" s="4" t="s">
        <v>797</v>
      </c>
      <c r="B398" s="4" t="s">
        <v>798</v>
      </c>
      <c r="C398" s="8" t="s">
        <v>23</v>
      </c>
      <c r="D398" s="6">
        <v>63</v>
      </c>
      <c r="E398" s="6">
        <v>34.6</v>
      </c>
      <c r="F398" s="9">
        <v>63</v>
      </c>
      <c r="G398" s="9">
        <v>35</v>
      </c>
    </row>
    <row r="399" spans="1:7" ht="12" customHeight="1" x14ac:dyDescent="0.2">
      <c r="A399" s="4" t="s">
        <v>799</v>
      </c>
      <c r="B399" s="4" t="s">
        <v>800</v>
      </c>
      <c r="C399" s="5" t="s">
        <v>8</v>
      </c>
      <c r="D399" s="6">
        <v>25.7</v>
      </c>
      <c r="E399" s="6">
        <v>73.2</v>
      </c>
      <c r="F399" s="9">
        <v>30</v>
      </c>
      <c r="G399" s="9">
        <v>69</v>
      </c>
    </row>
    <row r="400" spans="1:7" ht="12" customHeight="1" x14ac:dyDescent="0.2">
      <c r="A400" s="4" t="s">
        <v>801</v>
      </c>
      <c r="B400" s="4" t="s">
        <v>802</v>
      </c>
      <c r="C400" s="5" t="s">
        <v>8</v>
      </c>
      <c r="D400" s="6">
        <v>20.399999999999999</v>
      </c>
      <c r="E400" s="6">
        <v>77.400000000000006</v>
      </c>
      <c r="F400" s="7">
        <v>29.4</v>
      </c>
      <c r="G400" s="7">
        <v>67.7</v>
      </c>
    </row>
    <row r="401" spans="1:7" ht="12" customHeight="1" x14ac:dyDescent="0.2">
      <c r="A401" s="4" t="s">
        <v>803</v>
      </c>
      <c r="B401" s="4" t="s">
        <v>804</v>
      </c>
      <c r="C401" s="5" t="s">
        <v>8</v>
      </c>
      <c r="D401" s="6">
        <v>29.2</v>
      </c>
      <c r="E401" s="6">
        <v>68</v>
      </c>
      <c r="F401" s="7">
        <v>38.4</v>
      </c>
      <c r="G401" s="7">
        <v>58.5</v>
      </c>
    </row>
    <row r="402" spans="1:7" ht="12" customHeight="1" x14ac:dyDescent="0.2">
      <c r="A402" s="4" t="s">
        <v>805</v>
      </c>
      <c r="B402" s="4" t="s">
        <v>806</v>
      </c>
      <c r="C402" s="5" t="s">
        <v>8</v>
      </c>
      <c r="D402" s="6">
        <v>19.5</v>
      </c>
      <c r="E402" s="6">
        <v>78.3</v>
      </c>
      <c r="F402" s="7">
        <v>29.5</v>
      </c>
      <c r="G402" s="7">
        <v>67.5</v>
      </c>
    </row>
    <row r="403" spans="1:7" ht="12" customHeight="1" x14ac:dyDescent="0.2">
      <c r="A403" s="4" t="s">
        <v>807</v>
      </c>
      <c r="B403" s="4" t="s">
        <v>808</v>
      </c>
      <c r="C403" s="5" t="s">
        <v>8</v>
      </c>
      <c r="D403" s="6">
        <v>30.2</v>
      </c>
      <c r="E403" s="6">
        <v>67.2</v>
      </c>
      <c r="F403" s="7">
        <v>40.9</v>
      </c>
      <c r="G403" s="7">
        <v>56.1</v>
      </c>
    </row>
    <row r="404" spans="1:7" ht="12" customHeight="1" x14ac:dyDescent="0.2">
      <c r="A404" s="4" t="s">
        <v>809</v>
      </c>
      <c r="B404" s="4" t="s">
        <v>810</v>
      </c>
      <c r="C404" s="5" t="s">
        <v>8</v>
      </c>
      <c r="D404" s="6">
        <v>45.6</v>
      </c>
      <c r="E404" s="6">
        <v>53</v>
      </c>
      <c r="F404" s="7">
        <v>46.9</v>
      </c>
      <c r="G404" s="7">
        <v>52.3</v>
      </c>
    </row>
    <row r="405" spans="1:7" ht="12" customHeight="1" x14ac:dyDescent="0.2">
      <c r="A405" s="4" t="s">
        <v>811</v>
      </c>
      <c r="B405" s="4" t="s">
        <v>812</v>
      </c>
      <c r="C405" s="5" t="s">
        <v>8</v>
      </c>
      <c r="D405" s="6">
        <v>50.1</v>
      </c>
      <c r="E405" s="6">
        <v>48.6</v>
      </c>
      <c r="F405" s="7">
        <v>50.4</v>
      </c>
      <c r="G405" s="7">
        <v>48.7</v>
      </c>
    </row>
    <row r="406" spans="1:7" ht="12" customHeight="1" x14ac:dyDescent="0.2">
      <c r="A406" s="4" t="s">
        <v>813</v>
      </c>
      <c r="B406" s="4" t="s">
        <v>814</v>
      </c>
      <c r="C406" s="8" t="s">
        <v>23</v>
      </c>
      <c r="D406" s="6">
        <v>79</v>
      </c>
      <c r="E406" s="6">
        <v>20</v>
      </c>
      <c r="F406" s="7">
        <v>78.5</v>
      </c>
      <c r="G406" s="7">
        <v>20.9</v>
      </c>
    </row>
    <row r="407" spans="1:7" ht="12" customHeight="1" x14ac:dyDescent="0.2">
      <c r="A407" s="4" t="s">
        <v>815</v>
      </c>
      <c r="B407" s="4" t="s">
        <v>816</v>
      </c>
      <c r="C407" s="5" t="s">
        <v>8</v>
      </c>
      <c r="D407" s="6">
        <v>48.8</v>
      </c>
      <c r="E407" s="6">
        <v>50.1</v>
      </c>
      <c r="F407" s="7">
        <v>48.9</v>
      </c>
      <c r="G407" s="7">
        <v>50.4</v>
      </c>
    </row>
    <row r="408" spans="1:7" ht="12" customHeight="1" x14ac:dyDescent="0.2">
      <c r="A408" s="4" t="s">
        <v>817</v>
      </c>
      <c r="B408" s="4" t="s">
        <v>818</v>
      </c>
      <c r="C408" s="5" t="s">
        <v>8</v>
      </c>
      <c r="D408" s="6">
        <v>45.9</v>
      </c>
      <c r="E408" s="6">
        <v>52.5</v>
      </c>
      <c r="F408" s="7">
        <v>47.9</v>
      </c>
      <c r="G408" s="7">
        <v>51.1</v>
      </c>
    </row>
    <row r="409" spans="1:7" ht="12" customHeight="1" x14ac:dyDescent="0.2">
      <c r="A409" s="4" t="s">
        <v>819</v>
      </c>
      <c r="B409" s="4" t="s">
        <v>820</v>
      </c>
      <c r="C409" s="5" t="s">
        <v>8</v>
      </c>
      <c r="D409" s="6">
        <v>39.5</v>
      </c>
      <c r="E409" s="6">
        <v>58.8</v>
      </c>
      <c r="F409" s="7">
        <v>42</v>
      </c>
      <c r="G409" s="7">
        <v>57</v>
      </c>
    </row>
    <row r="410" spans="1:7" ht="12" customHeight="1" x14ac:dyDescent="0.2">
      <c r="A410" s="4" t="s">
        <v>821</v>
      </c>
      <c r="B410" s="4" t="s">
        <v>822</v>
      </c>
      <c r="C410" s="5" t="s">
        <v>8</v>
      </c>
      <c r="D410" s="6">
        <v>41.7</v>
      </c>
      <c r="E410" s="6">
        <v>56.9</v>
      </c>
      <c r="F410" s="7">
        <v>43.6</v>
      </c>
      <c r="G410" s="7">
        <v>55.6</v>
      </c>
    </row>
    <row r="411" spans="1:7" ht="12" customHeight="1" x14ac:dyDescent="0.2">
      <c r="A411" s="4" t="s">
        <v>823</v>
      </c>
      <c r="B411" s="4" t="s">
        <v>824</v>
      </c>
      <c r="C411" s="8" t="s">
        <v>23</v>
      </c>
      <c r="D411" s="6">
        <v>67.8</v>
      </c>
      <c r="E411" s="6">
        <v>31</v>
      </c>
      <c r="F411" s="7">
        <v>68.5</v>
      </c>
      <c r="G411" s="7">
        <v>30.6</v>
      </c>
    </row>
    <row r="412" spans="1:7" ht="12" customHeight="1" x14ac:dyDescent="0.2">
      <c r="A412" s="4" t="s">
        <v>825</v>
      </c>
      <c r="B412" s="4" t="s">
        <v>826</v>
      </c>
      <c r="C412" s="5" t="s">
        <v>8</v>
      </c>
      <c r="D412" s="6">
        <v>34.9</v>
      </c>
      <c r="E412" s="6">
        <v>63.1</v>
      </c>
      <c r="F412" s="7">
        <v>40.200000000000003</v>
      </c>
      <c r="G412" s="7">
        <v>58.4</v>
      </c>
    </row>
    <row r="413" spans="1:7" ht="12" customHeight="1" x14ac:dyDescent="0.2">
      <c r="A413" s="4" t="s">
        <v>827</v>
      </c>
      <c r="B413" s="4" t="s">
        <v>828</v>
      </c>
      <c r="C413" s="5" t="s">
        <v>8</v>
      </c>
      <c r="D413" s="6">
        <v>48.8</v>
      </c>
      <c r="E413" s="6">
        <v>49.9</v>
      </c>
      <c r="F413" s="7">
        <v>51</v>
      </c>
      <c r="G413" s="7">
        <v>48.2</v>
      </c>
    </row>
    <row r="414" spans="1:7" ht="12" customHeight="1" x14ac:dyDescent="0.2">
      <c r="A414" s="4" t="s">
        <v>829</v>
      </c>
      <c r="B414" s="4" t="s">
        <v>830</v>
      </c>
      <c r="C414" s="8" t="s">
        <v>23</v>
      </c>
      <c r="D414" s="6">
        <v>62.5</v>
      </c>
      <c r="E414" s="6">
        <v>36.299999999999997</v>
      </c>
      <c r="F414" s="7">
        <v>62.3</v>
      </c>
      <c r="G414" s="7">
        <v>37</v>
      </c>
    </row>
    <row r="415" spans="1:7" ht="12" customHeight="1" x14ac:dyDescent="0.2">
      <c r="A415" s="4" t="s">
        <v>831</v>
      </c>
      <c r="B415" s="4" t="s">
        <v>832</v>
      </c>
      <c r="C415" s="8" t="s">
        <v>23</v>
      </c>
      <c r="D415" s="6">
        <v>67</v>
      </c>
      <c r="E415" s="6">
        <v>31.2</v>
      </c>
      <c r="F415" s="7">
        <v>67.8</v>
      </c>
      <c r="G415" s="7">
        <v>30.6</v>
      </c>
    </row>
    <row r="416" spans="1:7" ht="12" customHeight="1" x14ac:dyDescent="0.2">
      <c r="A416" s="4" t="s">
        <v>833</v>
      </c>
      <c r="B416" s="4" t="s">
        <v>834</v>
      </c>
      <c r="C416" s="8" t="s">
        <v>23</v>
      </c>
      <c r="D416" s="6">
        <v>54.1</v>
      </c>
      <c r="E416" s="6">
        <v>43.3</v>
      </c>
      <c r="F416" s="7">
        <v>56.3</v>
      </c>
      <c r="G416" s="7">
        <v>41.9</v>
      </c>
    </row>
    <row r="417" spans="1:7" ht="12" customHeight="1" x14ac:dyDescent="0.2">
      <c r="A417" s="4" t="s">
        <v>835</v>
      </c>
      <c r="B417" s="4" t="s">
        <v>836</v>
      </c>
      <c r="C417" s="8" t="s">
        <v>23</v>
      </c>
      <c r="D417" s="6">
        <v>59.2</v>
      </c>
      <c r="E417" s="6">
        <v>38</v>
      </c>
      <c r="F417" s="7">
        <v>60.5</v>
      </c>
      <c r="G417" s="7">
        <v>37.6</v>
      </c>
    </row>
    <row r="418" spans="1:7" ht="12" customHeight="1" x14ac:dyDescent="0.2">
      <c r="A418" s="4" t="s">
        <v>837</v>
      </c>
      <c r="B418" s="4" t="s">
        <v>838</v>
      </c>
      <c r="C418" s="5" t="s">
        <v>8</v>
      </c>
      <c r="D418" s="6">
        <v>47.9</v>
      </c>
      <c r="E418" s="6">
        <v>49.6</v>
      </c>
      <c r="F418" s="7">
        <v>50.9</v>
      </c>
      <c r="G418" s="7">
        <v>47.1</v>
      </c>
    </row>
    <row r="419" spans="1:7" ht="12" customHeight="1" x14ac:dyDescent="0.2">
      <c r="A419" s="4" t="s">
        <v>839</v>
      </c>
      <c r="B419" s="4" t="s">
        <v>840</v>
      </c>
      <c r="C419" s="5" t="s">
        <v>8</v>
      </c>
      <c r="D419" s="6">
        <v>37.9</v>
      </c>
      <c r="E419" s="6">
        <v>59.7</v>
      </c>
      <c r="F419" s="7">
        <v>39.200000000000003</v>
      </c>
      <c r="G419" s="7">
        <v>58.9</v>
      </c>
    </row>
    <row r="420" spans="1:7" ht="12" customHeight="1" x14ac:dyDescent="0.2">
      <c r="A420" s="4" t="s">
        <v>841</v>
      </c>
      <c r="B420" s="4" t="s">
        <v>842</v>
      </c>
      <c r="C420" s="5" t="s">
        <v>8</v>
      </c>
      <c r="D420" s="6">
        <v>43.7</v>
      </c>
      <c r="E420" s="6">
        <v>53.5</v>
      </c>
      <c r="F420" s="7">
        <v>46.3</v>
      </c>
      <c r="G420" s="7">
        <v>51.2</v>
      </c>
    </row>
    <row r="421" spans="1:7" ht="12" customHeight="1" x14ac:dyDescent="0.2">
      <c r="A421" s="4" t="s">
        <v>843</v>
      </c>
      <c r="B421" s="4" t="s">
        <v>844</v>
      </c>
      <c r="C421" s="8" t="s">
        <v>23</v>
      </c>
      <c r="D421" s="6">
        <v>56.1</v>
      </c>
      <c r="E421" s="6">
        <v>41.2</v>
      </c>
      <c r="F421" s="7">
        <v>57</v>
      </c>
      <c r="G421" s="7">
        <v>40.9</v>
      </c>
    </row>
    <row r="422" spans="1:7" ht="12" customHeight="1" x14ac:dyDescent="0.2">
      <c r="A422" s="4" t="s">
        <v>845</v>
      </c>
      <c r="B422" s="4" t="s">
        <v>846</v>
      </c>
      <c r="C422" s="8" t="s">
        <v>23</v>
      </c>
      <c r="D422" s="6">
        <v>79.2</v>
      </c>
      <c r="E422" s="6">
        <v>18.100000000000001</v>
      </c>
      <c r="F422" s="7">
        <v>80.400000000000006</v>
      </c>
      <c r="G422" s="7">
        <v>18</v>
      </c>
    </row>
    <row r="423" spans="1:7" ht="12" customHeight="1" x14ac:dyDescent="0.2">
      <c r="A423" s="4" t="s">
        <v>847</v>
      </c>
      <c r="B423" s="4" t="s">
        <v>848</v>
      </c>
      <c r="C423" s="5" t="s">
        <v>8</v>
      </c>
      <c r="D423" s="6">
        <v>49.7</v>
      </c>
      <c r="E423" s="6">
        <v>48.1</v>
      </c>
      <c r="F423" s="7">
        <v>51.5</v>
      </c>
      <c r="G423" s="7">
        <v>46.8</v>
      </c>
    </row>
    <row r="424" spans="1:7" ht="12" customHeight="1" x14ac:dyDescent="0.2">
      <c r="A424" s="4" t="s">
        <v>849</v>
      </c>
      <c r="B424" s="4" t="s">
        <v>850</v>
      </c>
      <c r="C424" s="8" t="s">
        <v>23</v>
      </c>
      <c r="D424" s="6">
        <v>68.3</v>
      </c>
      <c r="E424" s="6">
        <v>29.6</v>
      </c>
      <c r="F424" s="7">
        <v>68.599999999999994</v>
      </c>
      <c r="G424" s="7">
        <v>29.9</v>
      </c>
    </row>
    <row r="425" spans="1:7" ht="12" customHeight="1" x14ac:dyDescent="0.2">
      <c r="A425" s="4" t="s">
        <v>851</v>
      </c>
      <c r="B425" s="4" t="s">
        <v>852</v>
      </c>
      <c r="C425" s="8" t="s">
        <v>23</v>
      </c>
      <c r="D425" s="6">
        <v>56.3</v>
      </c>
      <c r="E425" s="6">
        <v>41.1</v>
      </c>
      <c r="F425" s="7">
        <v>57.2</v>
      </c>
      <c r="G425" s="7">
        <v>41</v>
      </c>
    </row>
    <row r="426" spans="1:7" ht="12" customHeight="1" x14ac:dyDescent="0.2">
      <c r="A426" s="4" t="s">
        <v>853</v>
      </c>
      <c r="B426" s="4" t="s">
        <v>854</v>
      </c>
      <c r="C426" s="5" t="s">
        <v>8</v>
      </c>
      <c r="D426" s="19">
        <v>47.4</v>
      </c>
      <c r="E426" s="6">
        <v>51.6</v>
      </c>
      <c r="F426" s="7">
        <v>50.8</v>
      </c>
      <c r="G426" s="7">
        <v>48.1</v>
      </c>
    </row>
    <row r="427" spans="1:7" ht="12" customHeight="1" x14ac:dyDescent="0.2">
      <c r="A427" s="4" t="s">
        <v>855</v>
      </c>
      <c r="B427" s="4" t="s">
        <v>856</v>
      </c>
      <c r="C427" s="8" t="s">
        <v>23</v>
      </c>
      <c r="D427" s="19">
        <v>68.3</v>
      </c>
      <c r="E427" s="6">
        <v>30.5</v>
      </c>
      <c r="F427" s="7">
        <v>70.099999999999994</v>
      </c>
      <c r="G427" s="7">
        <v>28.6</v>
      </c>
    </row>
    <row r="428" spans="1:7" ht="12" customHeight="1" x14ac:dyDescent="0.2">
      <c r="A428" s="4" t="s">
        <v>857</v>
      </c>
      <c r="B428" s="4" t="s">
        <v>858</v>
      </c>
      <c r="C428" s="8" t="s">
        <v>23</v>
      </c>
      <c r="D428" s="19">
        <v>54.8</v>
      </c>
      <c r="E428" s="6">
        <v>43.8</v>
      </c>
      <c r="F428" s="7">
        <v>59.4</v>
      </c>
      <c r="G428" s="7">
        <v>39.1</v>
      </c>
    </row>
    <row r="429" spans="1:7" ht="12" customHeight="1" x14ac:dyDescent="0.2">
      <c r="A429" s="4" t="s">
        <v>859</v>
      </c>
      <c r="B429" s="4" t="s">
        <v>860</v>
      </c>
      <c r="C429" s="8" t="s">
        <v>23</v>
      </c>
      <c r="D429" s="19">
        <v>75.3</v>
      </c>
      <c r="E429" s="6">
        <v>23.8</v>
      </c>
      <c r="F429" s="7">
        <v>74.400000000000006</v>
      </c>
      <c r="G429" s="7">
        <v>24.6</v>
      </c>
    </row>
    <row r="430" spans="1:7" ht="12" customHeight="1" x14ac:dyDescent="0.2">
      <c r="A430" s="4" t="s">
        <v>861</v>
      </c>
      <c r="B430" s="4" t="s">
        <v>862</v>
      </c>
      <c r="C430" s="5" t="s">
        <v>8</v>
      </c>
      <c r="D430" s="19">
        <v>37.700000000000003</v>
      </c>
      <c r="E430" s="6">
        <v>61.3</v>
      </c>
      <c r="F430" s="7">
        <v>41.8</v>
      </c>
      <c r="G430" s="7">
        <v>57.2</v>
      </c>
    </row>
    <row r="431" spans="1:7" ht="12" customHeight="1" x14ac:dyDescent="0.2">
      <c r="A431" s="4" t="s">
        <v>863</v>
      </c>
      <c r="B431" s="4" t="s">
        <v>864</v>
      </c>
      <c r="C431" s="5" t="s">
        <v>8</v>
      </c>
      <c r="D431" s="19">
        <v>45.8</v>
      </c>
      <c r="E431" s="6">
        <v>53.1</v>
      </c>
      <c r="F431" s="7">
        <v>49.4</v>
      </c>
      <c r="G431" s="7">
        <v>49.3</v>
      </c>
    </row>
    <row r="432" spans="1:7" ht="12" customHeight="1" x14ac:dyDescent="0.2">
      <c r="A432" s="4" t="s">
        <v>865</v>
      </c>
      <c r="B432" s="4" t="s">
        <v>866</v>
      </c>
      <c r="C432" s="5" t="s">
        <v>8</v>
      </c>
      <c r="D432" s="19">
        <v>47.8</v>
      </c>
      <c r="E432" s="6">
        <v>50.9</v>
      </c>
      <c r="F432" s="7">
        <v>53.2</v>
      </c>
      <c r="G432" s="7">
        <v>45.3</v>
      </c>
    </row>
    <row r="433" spans="1:7" ht="12" customHeight="1" x14ac:dyDescent="0.2">
      <c r="A433" s="4" t="s">
        <v>867</v>
      </c>
      <c r="B433" s="4" t="s">
        <v>868</v>
      </c>
      <c r="C433" s="5" t="s">
        <v>8</v>
      </c>
      <c r="D433" s="19">
        <v>47.6</v>
      </c>
      <c r="E433" s="6">
        <v>51.3</v>
      </c>
      <c r="F433" s="7">
        <v>53.7</v>
      </c>
      <c r="G433" s="7">
        <v>45</v>
      </c>
    </row>
    <row r="434" spans="1:7" ht="12" customHeight="1" x14ac:dyDescent="0.2">
      <c r="A434" s="4" t="s">
        <v>869</v>
      </c>
      <c r="B434" s="4" t="s">
        <v>870</v>
      </c>
      <c r="C434" s="5" t="s">
        <v>8</v>
      </c>
      <c r="D434" s="6">
        <v>35.5</v>
      </c>
      <c r="E434" s="6">
        <v>62.2</v>
      </c>
      <c r="F434" s="7">
        <v>41.5</v>
      </c>
      <c r="G434" s="7">
        <v>56.7</v>
      </c>
    </row>
    <row r="435" spans="1:7" ht="12" customHeight="1" x14ac:dyDescent="0.2">
      <c r="A435" s="4" t="s">
        <v>871</v>
      </c>
      <c r="B435" s="4" t="s">
        <v>872</v>
      </c>
      <c r="C435" s="5" t="s">
        <v>8</v>
      </c>
      <c r="D435" s="6">
        <v>38</v>
      </c>
      <c r="E435" s="6">
        <v>60</v>
      </c>
      <c r="F435" s="7">
        <v>43.9</v>
      </c>
      <c r="G435" s="7">
        <v>54.7</v>
      </c>
    </row>
    <row r="436" spans="1:7" ht="12" customHeight="1" x14ac:dyDescent="0.2">
      <c r="A436" s="4" t="s">
        <v>873</v>
      </c>
      <c r="B436" s="4" t="s">
        <v>874</v>
      </c>
      <c r="C436" s="5" t="s">
        <v>8</v>
      </c>
      <c r="D436" s="6">
        <v>32.799999999999997</v>
      </c>
      <c r="E436" s="6">
        <v>65</v>
      </c>
      <c r="F436" s="7">
        <v>42.3</v>
      </c>
      <c r="G436" s="7">
        <v>55.7</v>
      </c>
    </row>
    <row r="437" spans="1:7" ht="12" customHeight="1" x14ac:dyDescent="0.2">
      <c r="A437" s="4" t="s">
        <v>875</v>
      </c>
      <c r="B437" s="4" t="s">
        <v>876</v>
      </c>
      <c r="C437" s="5" t="s">
        <v>8</v>
      </c>
      <c r="D437" s="19">
        <v>27.6</v>
      </c>
      <c r="E437" s="6">
        <v>68.2</v>
      </c>
      <c r="F437" s="7">
        <v>32.700000000000003</v>
      </c>
      <c r="G437" s="7">
        <v>65.2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437"/>
  <sheetViews>
    <sheetView tabSelected="1" workbookViewId="0">
      <pane ySplit="2" topLeftCell="A3" activePane="bottomLeft" state="frozen"/>
      <selection pane="bottomLeft" activeCell="F4" sqref="F4"/>
    </sheetView>
  </sheetViews>
  <sheetFormatPr defaultColWidth="12.5703125" defaultRowHeight="12.75" customHeight="1" x14ac:dyDescent="0.2"/>
  <cols>
    <col min="1" max="1" width="6.140625" customWidth="1"/>
    <col min="2" max="2" width="22" customWidth="1"/>
    <col min="3" max="3" width="5.140625" customWidth="1"/>
    <col min="4" max="4" width="0.7109375" customWidth="1"/>
    <col min="5" max="5" width="9.140625" bestFit="1" customWidth="1"/>
    <col min="6" max="6" width="7.5703125" customWidth="1"/>
    <col min="7" max="7" width="7.5703125" bestFit="1" customWidth="1"/>
    <col min="8" max="8" width="8.140625" customWidth="1"/>
    <col min="9" max="9" width="9" customWidth="1"/>
    <col min="10" max="10" width="0.7109375" customWidth="1"/>
    <col min="11" max="12" width="9.140625" bestFit="1" customWidth="1"/>
    <col min="13" max="13" width="7.5703125" bestFit="1" customWidth="1"/>
    <col min="14" max="14" width="8.140625" customWidth="1"/>
    <col min="15" max="15" width="8.42578125" customWidth="1"/>
  </cols>
  <sheetData>
    <row r="1" spans="1:15" ht="12.75" customHeight="1" x14ac:dyDescent="0.2">
      <c r="A1" s="85"/>
      <c r="B1" s="83"/>
      <c r="C1" s="83"/>
      <c r="D1" s="21"/>
      <c r="E1" s="86">
        <v>2012</v>
      </c>
      <c r="F1" s="83"/>
      <c r="G1" s="83"/>
      <c r="H1" s="83"/>
      <c r="I1" s="83"/>
      <c r="J1" s="23"/>
      <c r="K1" s="87">
        <v>2008</v>
      </c>
      <c r="L1" s="83"/>
      <c r="M1" s="83"/>
      <c r="N1" s="83"/>
      <c r="O1" s="83"/>
    </row>
    <row r="2" spans="1:15" ht="12.75" customHeight="1" x14ac:dyDescent="0.2">
      <c r="A2" s="20" t="s">
        <v>0</v>
      </c>
      <c r="B2" s="20" t="s">
        <v>1</v>
      </c>
      <c r="C2" s="20" t="s">
        <v>2</v>
      </c>
      <c r="D2" s="21"/>
      <c r="E2" s="22" t="s">
        <v>3</v>
      </c>
      <c r="F2" s="22" t="s">
        <v>4</v>
      </c>
      <c r="G2" s="22" t="s">
        <v>877</v>
      </c>
      <c r="H2" s="22" t="s">
        <v>878</v>
      </c>
      <c r="I2" s="22" t="s">
        <v>879</v>
      </c>
      <c r="J2" s="23"/>
      <c r="K2" s="24" t="s">
        <v>3</v>
      </c>
      <c r="L2" s="24" t="s">
        <v>5</v>
      </c>
      <c r="M2" s="24" t="s">
        <v>877</v>
      </c>
      <c r="N2" s="24" t="s">
        <v>878</v>
      </c>
      <c r="O2" s="24" t="s">
        <v>880</v>
      </c>
    </row>
    <row r="3" spans="1:15" ht="12.75" customHeight="1" x14ac:dyDescent="0.2">
      <c r="A3" s="4" t="s">
        <v>6</v>
      </c>
      <c r="B3" s="4" t="s">
        <v>7</v>
      </c>
      <c r="C3" s="5" t="s">
        <v>8</v>
      </c>
      <c r="D3" s="25"/>
      <c r="E3" s="26">
        <v>122640</v>
      </c>
      <c r="F3" s="26">
        <v>164676</v>
      </c>
      <c r="G3" s="26">
        <v>297625</v>
      </c>
      <c r="H3" s="27">
        <f t="shared" ref="H3:H257" si="0">E3/G3</f>
        <v>0.41206215875682484</v>
      </c>
      <c r="I3" s="27">
        <f t="shared" ref="I3:I257" si="1">F3/G3</f>
        <v>0.55330029399412006</v>
      </c>
      <c r="J3" s="28"/>
      <c r="K3" s="26">
        <v>123594</v>
      </c>
      <c r="L3" s="26">
        <v>193841</v>
      </c>
      <c r="M3" s="26">
        <v>324467</v>
      </c>
      <c r="N3" s="27">
        <f t="shared" ref="N3:N23" si="2">K3/M3</f>
        <v>0.38091392961379739</v>
      </c>
      <c r="O3" s="27">
        <f t="shared" ref="O3:O23" si="3">L3/M3</f>
        <v>0.597413604465169</v>
      </c>
    </row>
    <row r="4" spans="1:15" ht="12.75" customHeight="1" x14ac:dyDescent="0.2">
      <c r="A4" s="4" t="s">
        <v>9</v>
      </c>
      <c r="B4" s="4" t="s">
        <v>10</v>
      </c>
      <c r="C4" s="5" t="s">
        <v>8</v>
      </c>
      <c r="D4" s="25"/>
      <c r="E4" s="29">
        <v>111735</v>
      </c>
      <c r="F4" s="29">
        <v>184786</v>
      </c>
      <c r="G4" s="29">
        <v>298837</v>
      </c>
      <c r="H4" s="30">
        <f t="shared" si="0"/>
        <v>0.37389948366500803</v>
      </c>
      <c r="I4" s="30">
        <f t="shared" si="1"/>
        <v>0.61835047199643955</v>
      </c>
      <c r="J4" s="28"/>
      <c r="K4" s="29">
        <v>115975</v>
      </c>
      <c r="L4" s="29">
        <v>183753</v>
      </c>
      <c r="M4" s="29">
        <v>301556</v>
      </c>
      <c r="N4" s="30">
        <f t="shared" si="2"/>
        <v>0.38458860045895288</v>
      </c>
      <c r="O4" s="30">
        <f t="shared" si="3"/>
        <v>0.60934950722253911</v>
      </c>
    </row>
    <row r="5" spans="1:15" ht="12.75" customHeight="1" x14ac:dyDescent="0.2">
      <c r="A5" s="4" t="s">
        <v>11</v>
      </c>
      <c r="B5" s="4" t="s">
        <v>12</v>
      </c>
      <c r="C5" s="5" t="s">
        <v>8</v>
      </c>
      <c r="D5" s="25"/>
      <c r="E5" s="26">
        <v>105572</v>
      </c>
      <c r="F5" s="26">
        <v>182287</v>
      </c>
      <c r="G5" s="26">
        <v>289864</v>
      </c>
      <c r="H5" s="27">
        <f t="shared" si="0"/>
        <v>0.36421218226478624</v>
      </c>
      <c r="I5" s="27">
        <f t="shared" si="1"/>
        <v>0.62887078077995195</v>
      </c>
      <c r="J5" s="28"/>
      <c r="K5" s="26">
        <v>101076</v>
      </c>
      <c r="L5" s="26">
        <v>186164</v>
      </c>
      <c r="M5" s="26">
        <v>288807</v>
      </c>
      <c r="N5" s="27">
        <f t="shared" si="2"/>
        <v>0.34997766674630465</v>
      </c>
      <c r="O5" s="27">
        <f t="shared" si="3"/>
        <v>0.64459656448770286</v>
      </c>
    </row>
    <row r="6" spans="1:15" ht="12.75" customHeight="1" x14ac:dyDescent="0.2">
      <c r="A6" s="4" t="s">
        <v>13</v>
      </c>
      <c r="B6" s="4" t="s">
        <v>14</v>
      </c>
      <c r="C6" s="5" t="s">
        <v>8</v>
      </c>
      <c r="D6" s="25"/>
      <c r="E6" s="29">
        <v>103089</v>
      </c>
      <c r="F6" s="29">
        <v>174465</v>
      </c>
      <c r="G6" s="29">
        <v>280128</v>
      </c>
      <c r="H6" s="30">
        <f t="shared" si="0"/>
        <v>0.36800676833447565</v>
      </c>
      <c r="I6" s="30">
        <f t="shared" si="1"/>
        <v>0.62280457505140507</v>
      </c>
      <c r="J6" s="28"/>
      <c r="K6" s="29">
        <v>103221</v>
      </c>
      <c r="L6" s="29">
        <v>176434</v>
      </c>
      <c r="M6" s="29">
        <v>281951</v>
      </c>
      <c r="N6" s="30">
        <f t="shared" si="2"/>
        <v>0.36609552723700217</v>
      </c>
      <c r="O6" s="30">
        <f t="shared" si="3"/>
        <v>0.62576121382793459</v>
      </c>
    </row>
    <row r="7" spans="1:15" ht="12.75" customHeight="1" x14ac:dyDescent="0.2">
      <c r="A7" s="4" t="s">
        <v>15</v>
      </c>
      <c r="B7" s="4" t="s">
        <v>16</v>
      </c>
      <c r="C7" s="5" t="s">
        <v>8</v>
      </c>
      <c r="D7" s="25"/>
      <c r="E7" s="26">
        <v>65818</v>
      </c>
      <c r="F7" s="26">
        <v>205423</v>
      </c>
      <c r="G7" s="26">
        <v>274505</v>
      </c>
      <c r="H7" s="27">
        <f t="shared" si="0"/>
        <v>0.23976976739950093</v>
      </c>
      <c r="I7" s="27">
        <f t="shared" si="1"/>
        <v>0.74833973880257187</v>
      </c>
      <c r="J7" s="28"/>
      <c r="K7" s="26">
        <v>71095</v>
      </c>
      <c r="L7" s="26">
        <v>204123</v>
      </c>
      <c r="M7" s="26">
        <v>278483</v>
      </c>
      <c r="N7" s="27">
        <f t="shared" si="2"/>
        <v>0.25529385994836312</v>
      </c>
      <c r="O7" s="27">
        <f t="shared" si="3"/>
        <v>0.73298190553821951</v>
      </c>
    </row>
    <row r="8" spans="1:15" ht="12.75" customHeight="1" x14ac:dyDescent="0.2">
      <c r="A8" s="4" t="s">
        <v>17</v>
      </c>
      <c r="B8" s="4" t="s">
        <v>18</v>
      </c>
      <c r="C8" s="5" t="s">
        <v>8</v>
      </c>
      <c r="D8" s="25"/>
      <c r="E8" s="29">
        <v>103598</v>
      </c>
      <c r="F8" s="29">
        <v>189860</v>
      </c>
      <c r="G8" s="29">
        <v>297263</v>
      </c>
      <c r="H8" s="30">
        <f t="shared" si="0"/>
        <v>0.34850620494309753</v>
      </c>
      <c r="I8" s="30">
        <f t="shared" si="1"/>
        <v>0.638693682025681</v>
      </c>
      <c r="J8" s="28"/>
      <c r="K8" s="29">
        <v>107005</v>
      </c>
      <c r="L8" s="29">
        <v>184225</v>
      </c>
      <c r="M8" s="29">
        <v>294444</v>
      </c>
      <c r="N8" s="30">
        <f t="shared" si="2"/>
        <v>0.36341375609623561</v>
      </c>
      <c r="O8" s="30">
        <f t="shared" si="3"/>
        <v>0.62567075572944264</v>
      </c>
    </row>
    <row r="9" spans="1:15" ht="12.75" customHeight="1" x14ac:dyDescent="0.2">
      <c r="A9" s="4" t="s">
        <v>19</v>
      </c>
      <c r="B9" s="4" t="s">
        <v>20</v>
      </c>
      <c r="C9" s="5" t="s">
        <v>8</v>
      </c>
      <c r="D9" s="25"/>
      <c r="E9" s="26">
        <v>77517</v>
      </c>
      <c r="F9" s="26">
        <v>233566</v>
      </c>
      <c r="G9" s="26">
        <v>314343</v>
      </c>
      <c r="H9" s="27">
        <f t="shared" si="0"/>
        <v>0.24660005153606093</v>
      </c>
      <c r="I9" s="27">
        <f t="shared" si="1"/>
        <v>0.74302911151194717</v>
      </c>
      <c r="J9" s="28"/>
      <c r="K9" s="26">
        <v>78559</v>
      </c>
      <c r="L9" s="26">
        <v>232644</v>
      </c>
      <c r="M9" s="26">
        <v>313838</v>
      </c>
      <c r="N9" s="27">
        <f t="shared" si="2"/>
        <v>0.25031704255061527</v>
      </c>
      <c r="O9" s="27">
        <f t="shared" si="3"/>
        <v>0.74128690598334168</v>
      </c>
    </row>
    <row r="10" spans="1:15" ht="12.75" customHeight="1" x14ac:dyDescent="0.2">
      <c r="A10" s="4" t="s">
        <v>21</v>
      </c>
      <c r="B10" s="4" t="s">
        <v>22</v>
      </c>
      <c r="C10" s="8" t="s">
        <v>23</v>
      </c>
      <c r="D10" s="25"/>
      <c r="E10" s="29">
        <v>228276</v>
      </c>
      <c r="F10" s="29">
        <v>85488</v>
      </c>
      <c r="G10" s="29">
        <v>315244</v>
      </c>
      <c r="H10" s="30">
        <f t="shared" si="0"/>
        <v>0.72412480491301978</v>
      </c>
      <c r="I10" s="30">
        <f t="shared" si="1"/>
        <v>0.27118041897704637</v>
      </c>
      <c r="J10" s="28"/>
      <c r="K10" s="29">
        <v>225642</v>
      </c>
      <c r="L10" s="29">
        <v>88803</v>
      </c>
      <c r="M10" s="29">
        <v>315625</v>
      </c>
      <c r="N10" s="30">
        <f t="shared" si="2"/>
        <v>0.71490534653465343</v>
      </c>
      <c r="O10" s="30">
        <f t="shared" si="3"/>
        <v>0.28135603960396038</v>
      </c>
    </row>
    <row r="11" spans="1:15" ht="12.75" customHeight="1" x14ac:dyDescent="0.2">
      <c r="A11" s="4" t="s">
        <v>24</v>
      </c>
      <c r="B11" s="4" t="s">
        <v>25</v>
      </c>
      <c r="C11" s="5" t="s">
        <v>8</v>
      </c>
      <c r="D11" s="25"/>
      <c r="E11" s="26">
        <v>92086</v>
      </c>
      <c r="F11" s="26">
        <v>154549</v>
      </c>
      <c r="G11" s="26">
        <v>253460</v>
      </c>
      <c r="H11" s="27">
        <f t="shared" si="0"/>
        <v>0.36331571056576972</v>
      </c>
      <c r="I11" s="27">
        <f t="shared" si="1"/>
        <v>0.60975696362345144</v>
      </c>
      <c r="J11" s="28"/>
      <c r="K11" s="26">
        <v>102670</v>
      </c>
      <c r="L11" s="26">
        <v>151918</v>
      </c>
      <c r="M11" s="26">
        <v>262118</v>
      </c>
      <c r="N11" s="27">
        <f t="shared" si="2"/>
        <v>0.39169381728839681</v>
      </c>
      <c r="O11" s="27">
        <f t="shared" si="3"/>
        <v>0.57957866304488814</v>
      </c>
    </row>
    <row r="12" spans="1:15" ht="12.75" customHeight="1" x14ac:dyDescent="0.2">
      <c r="A12" s="4" t="s">
        <v>26</v>
      </c>
      <c r="B12" s="4" t="s">
        <v>27</v>
      </c>
      <c r="C12" s="5" t="s">
        <v>8</v>
      </c>
      <c r="D12" s="25"/>
      <c r="E12" s="29">
        <v>125527</v>
      </c>
      <c r="F12" s="29">
        <v>160140</v>
      </c>
      <c r="G12" s="29">
        <v>292515</v>
      </c>
      <c r="H12" s="30">
        <f t="shared" si="0"/>
        <v>0.42913013007879935</v>
      </c>
      <c r="I12" s="30">
        <f t="shared" si="1"/>
        <v>0.54745910466129943</v>
      </c>
      <c r="J12" s="28"/>
      <c r="K12" s="29">
        <v>129888</v>
      </c>
      <c r="L12" s="29">
        <v>157732</v>
      </c>
      <c r="M12" s="29">
        <v>293250</v>
      </c>
      <c r="N12" s="30">
        <f t="shared" si="2"/>
        <v>0.44292583120204604</v>
      </c>
      <c r="O12" s="30">
        <f t="shared" si="3"/>
        <v>0.53787553282182443</v>
      </c>
    </row>
    <row r="13" spans="1:15" ht="12.75" customHeight="1" x14ac:dyDescent="0.2">
      <c r="A13" s="4" t="s">
        <v>28</v>
      </c>
      <c r="B13" s="4" t="s">
        <v>29</v>
      </c>
      <c r="C13" s="5" t="s">
        <v>8</v>
      </c>
      <c r="D13" s="25"/>
      <c r="E13" s="26">
        <v>81413</v>
      </c>
      <c r="F13" s="26">
        <v>168703</v>
      </c>
      <c r="G13" s="26">
        <v>257668</v>
      </c>
      <c r="H13" s="27">
        <f t="shared" si="0"/>
        <v>0.31596084884424919</v>
      </c>
      <c r="I13" s="27">
        <f t="shared" si="1"/>
        <v>0.65473011782603974</v>
      </c>
      <c r="J13" s="28"/>
      <c r="K13" s="26">
        <v>85866</v>
      </c>
      <c r="L13" s="26">
        <v>161902</v>
      </c>
      <c r="M13" s="26">
        <v>253566</v>
      </c>
      <c r="N13" s="27">
        <f t="shared" si="2"/>
        <v>0.33863372849672274</v>
      </c>
      <c r="O13" s="27">
        <f t="shared" si="3"/>
        <v>0.63850042986835776</v>
      </c>
    </row>
    <row r="14" spans="1:15" ht="12.75" customHeight="1" x14ac:dyDescent="0.2">
      <c r="A14" s="4" t="s">
        <v>30</v>
      </c>
      <c r="B14" s="4" t="s">
        <v>31</v>
      </c>
      <c r="C14" s="5" t="s">
        <v>8</v>
      </c>
      <c r="D14" s="25"/>
      <c r="E14" s="29">
        <v>95383</v>
      </c>
      <c r="F14" s="29">
        <v>164352</v>
      </c>
      <c r="G14" s="29">
        <v>265825</v>
      </c>
      <c r="H14" s="30">
        <f t="shared" si="0"/>
        <v>0.35881877174833066</v>
      </c>
      <c r="I14" s="30">
        <f t="shared" si="1"/>
        <v>0.618271419166745</v>
      </c>
      <c r="J14" s="28"/>
      <c r="K14" s="29">
        <v>103886</v>
      </c>
      <c r="L14" s="29">
        <v>166465</v>
      </c>
      <c r="M14" s="29">
        <v>277684</v>
      </c>
      <c r="N14" s="30">
        <f t="shared" si="2"/>
        <v>0.374115901528356</v>
      </c>
      <c r="O14" s="30">
        <f t="shared" si="3"/>
        <v>0.59947638322697738</v>
      </c>
    </row>
    <row r="15" spans="1:15" ht="12.75" customHeight="1" x14ac:dyDescent="0.2">
      <c r="A15" s="4" t="s">
        <v>32</v>
      </c>
      <c r="B15" s="4" t="s">
        <v>33</v>
      </c>
      <c r="C15" s="8" t="s">
        <v>23</v>
      </c>
      <c r="D15" s="25"/>
      <c r="E15" s="26">
        <v>124550</v>
      </c>
      <c r="F15" s="26">
        <v>131115</v>
      </c>
      <c r="G15" s="26">
        <v>260056</v>
      </c>
      <c r="H15" s="27">
        <f t="shared" si="0"/>
        <v>0.47893530624173253</v>
      </c>
      <c r="I15" s="27">
        <f t="shared" si="1"/>
        <v>0.50417986895130285</v>
      </c>
      <c r="J15" s="28"/>
      <c r="K15" s="26">
        <v>123079</v>
      </c>
      <c r="L15" s="26">
        <v>131208</v>
      </c>
      <c r="M15" s="26">
        <v>257294</v>
      </c>
      <c r="N15" s="27">
        <f t="shared" si="2"/>
        <v>0.47835938653835691</v>
      </c>
      <c r="O15" s="27">
        <f t="shared" si="3"/>
        <v>0.50995359394311568</v>
      </c>
    </row>
    <row r="16" spans="1:15" ht="12.75" customHeight="1" x14ac:dyDescent="0.2">
      <c r="A16" s="4" t="s">
        <v>34</v>
      </c>
      <c r="B16" s="4" t="s">
        <v>35</v>
      </c>
      <c r="C16" s="5" t="s">
        <v>8</v>
      </c>
      <c r="D16" s="25"/>
      <c r="E16" s="29">
        <v>144966</v>
      </c>
      <c r="F16" s="29">
        <v>149651</v>
      </c>
      <c r="G16" s="29">
        <v>299691</v>
      </c>
      <c r="H16" s="30">
        <f t="shared" si="0"/>
        <v>0.48371822977666995</v>
      </c>
      <c r="I16" s="30">
        <f t="shared" si="1"/>
        <v>0.49935099819480733</v>
      </c>
      <c r="J16" s="28"/>
      <c r="K16" s="29">
        <v>150877</v>
      </c>
      <c r="L16" s="29">
        <v>153747</v>
      </c>
      <c r="M16" s="29">
        <v>308531</v>
      </c>
      <c r="N16" s="30">
        <f t="shared" si="2"/>
        <v>0.4890173110643663</v>
      </c>
      <c r="O16" s="30">
        <f t="shared" si="3"/>
        <v>0.49831945574350711</v>
      </c>
    </row>
    <row r="17" spans="1:15" ht="12.75" customHeight="1" x14ac:dyDescent="0.2">
      <c r="A17" s="4" t="s">
        <v>36</v>
      </c>
      <c r="B17" s="4" t="s">
        <v>37</v>
      </c>
      <c r="C17" s="8" t="s">
        <v>23</v>
      </c>
      <c r="D17" s="25"/>
      <c r="E17" s="26">
        <v>108902</v>
      </c>
      <c r="F17" s="26">
        <v>65482</v>
      </c>
      <c r="G17" s="26">
        <v>177248</v>
      </c>
      <c r="H17" s="27">
        <f t="shared" si="0"/>
        <v>0.61440467593428416</v>
      </c>
      <c r="I17" s="27">
        <f t="shared" si="1"/>
        <v>0.36943717277486909</v>
      </c>
      <c r="J17" s="28"/>
      <c r="K17" s="26">
        <v>102818</v>
      </c>
      <c r="L17" s="26">
        <v>71980</v>
      </c>
      <c r="M17" s="26">
        <v>176761</v>
      </c>
      <c r="N17" s="27">
        <f t="shared" si="2"/>
        <v>0.58167808509795715</v>
      </c>
      <c r="O17" s="27">
        <f t="shared" si="3"/>
        <v>0.40721652400699249</v>
      </c>
    </row>
    <row r="18" spans="1:15" ht="12.75" customHeight="1" x14ac:dyDescent="0.2">
      <c r="A18" s="4" t="s">
        <v>38</v>
      </c>
      <c r="B18" s="4" t="s">
        <v>39</v>
      </c>
      <c r="C18" s="5" t="s">
        <v>8</v>
      </c>
      <c r="D18" s="25"/>
      <c r="E18" s="29">
        <v>80035</v>
      </c>
      <c r="F18" s="29">
        <v>173394</v>
      </c>
      <c r="G18" s="29">
        <v>258046</v>
      </c>
      <c r="H18" s="30">
        <f t="shared" si="0"/>
        <v>0.31015787882780588</v>
      </c>
      <c r="I18" s="30">
        <f t="shared" si="1"/>
        <v>0.67194996240980287</v>
      </c>
      <c r="J18" s="28"/>
      <c r="K18" s="29">
        <v>86346</v>
      </c>
      <c r="L18" s="29">
        <v>161163</v>
      </c>
      <c r="M18" s="29">
        <v>251086</v>
      </c>
      <c r="N18" s="30">
        <f t="shared" si="2"/>
        <v>0.34389014122651201</v>
      </c>
      <c r="O18" s="30">
        <f t="shared" si="3"/>
        <v>0.64186374389651357</v>
      </c>
    </row>
    <row r="19" spans="1:15" ht="12.75" customHeight="1" x14ac:dyDescent="0.2">
      <c r="A19" s="4" t="s">
        <v>40</v>
      </c>
      <c r="B19" s="4" t="s">
        <v>41</v>
      </c>
      <c r="C19" s="5" t="s">
        <v>8</v>
      </c>
      <c r="D19" s="25"/>
      <c r="E19" s="26">
        <v>101511</v>
      </c>
      <c r="F19" s="26">
        <v>187304</v>
      </c>
      <c r="G19" s="26">
        <v>293748</v>
      </c>
      <c r="H19" s="27">
        <f t="shared" si="0"/>
        <v>0.34557171453082236</v>
      </c>
      <c r="I19" s="27">
        <f t="shared" si="1"/>
        <v>0.63763497964241456</v>
      </c>
      <c r="J19" s="28"/>
      <c r="K19" s="26">
        <v>104014</v>
      </c>
      <c r="L19" s="26">
        <v>179566</v>
      </c>
      <c r="M19" s="26">
        <v>286711</v>
      </c>
      <c r="N19" s="27">
        <f t="shared" si="2"/>
        <v>0.36278343000442953</v>
      </c>
      <c r="O19" s="27">
        <f t="shared" si="3"/>
        <v>0.62629616582551773</v>
      </c>
    </row>
    <row r="20" spans="1:15" ht="12.75" customHeight="1" x14ac:dyDescent="0.2">
      <c r="A20" s="4" t="s">
        <v>42</v>
      </c>
      <c r="B20" s="4" t="s">
        <v>43</v>
      </c>
      <c r="C20" s="5" t="s">
        <v>8</v>
      </c>
      <c r="D20" s="25"/>
      <c r="E20" s="29">
        <v>121661</v>
      </c>
      <c r="F20" s="29">
        <v>186537</v>
      </c>
      <c r="G20" s="29">
        <v>313417</v>
      </c>
      <c r="H20" s="30">
        <f t="shared" si="0"/>
        <v>0.38817613594667805</v>
      </c>
      <c r="I20" s="30">
        <f t="shared" si="1"/>
        <v>0.59517192749595582</v>
      </c>
      <c r="J20" s="28"/>
      <c r="K20" s="29">
        <v>130426</v>
      </c>
      <c r="L20" s="29">
        <v>182747</v>
      </c>
      <c r="M20" s="29">
        <v>316599</v>
      </c>
      <c r="N20" s="30">
        <f t="shared" si="2"/>
        <v>0.41195960821101774</v>
      </c>
      <c r="O20" s="30">
        <f t="shared" si="3"/>
        <v>0.57721913208822517</v>
      </c>
    </row>
    <row r="21" spans="1:15" ht="12.75" customHeight="1" x14ac:dyDescent="0.2">
      <c r="A21" s="4" t="s">
        <v>44</v>
      </c>
      <c r="B21" s="4" t="s">
        <v>45</v>
      </c>
      <c r="C21" s="8" t="s">
        <v>23</v>
      </c>
      <c r="D21" s="25"/>
      <c r="E21" s="26">
        <v>101028</v>
      </c>
      <c r="F21" s="26">
        <v>37353</v>
      </c>
      <c r="G21" s="26">
        <v>140907</v>
      </c>
      <c r="H21" s="27">
        <f t="shared" si="0"/>
        <v>0.71698354233643469</v>
      </c>
      <c r="I21" s="27">
        <f t="shared" si="1"/>
        <v>0.26508974004130381</v>
      </c>
      <c r="J21" s="28"/>
      <c r="K21" s="26">
        <v>85991</v>
      </c>
      <c r="L21" s="26">
        <v>45289</v>
      </c>
      <c r="M21" s="26">
        <v>132868</v>
      </c>
      <c r="N21" s="27">
        <f t="shared" si="2"/>
        <v>0.64719119727850194</v>
      </c>
      <c r="O21" s="27">
        <f t="shared" si="3"/>
        <v>0.34085709124845709</v>
      </c>
    </row>
    <row r="22" spans="1:15" ht="12.75" customHeight="1" x14ac:dyDescent="0.2">
      <c r="A22" s="4" t="s">
        <v>46</v>
      </c>
      <c r="B22" s="4" t="s">
        <v>47</v>
      </c>
      <c r="C22" s="5" t="s">
        <v>8</v>
      </c>
      <c r="D22" s="25"/>
      <c r="E22" s="29">
        <v>107335</v>
      </c>
      <c r="F22" s="29">
        <v>179555</v>
      </c>
      <c r="G22" s="29">
        <v>291126</v>
      </c>
      <c r="H22" s="30">
        <f t="shared" si="0"/>
        <v>0.36868915864608454</v>
      </c>
      <c r="I22" s="30">
        <f t="shared" si="1"/>
        <v>0.61676044049655476</v>
      </c>
      <c r="J22" s="28"/>
      <c r="K22" s="29">
        <v>110610</v>
      </c>
      <c r="L22" s="29">
        <v>174516</v>
      </c>
      <c r="M22" s="29">
        <v>288189</v>
      </c>
      <c r="N22" s="30">
        <f t="shared" si="2"/>
        <v>0.3838106242778177</v>
      </c>
      <c r="O22" s="30">
        <f t="shared" si="3"/>
        <v>0.60556093397041522</v>
      </c>
    </row>
    <row r="23" spans="1:15" ht="12.75" customHeight="1" x14ac:dyDescent="0.2">
      <c r="A23" s="4" t="s">
        <v>48</v>
      </c>
      <c r="B23" s="4" t="s">
        <v>49</v>
      </c>
      <c r="C23" s="8" t="s">
        <v>23</v>
      </c>
      <c r="D23" s="25"/>
      <c r="E23" s="26">
        <v>135244</v>
      </c>
      <c r="F23" s="26">
        <v>123263</v>
      </c>
      <c r="G23" s="26">
        <v>264563</v>
      </c>
      <c r="H23" s="27">
        <f t="shared" si="0"/>
        <v>0.51119771094219524</v>
      </c>
      <c r="I23" s="27">
        <f t="shared" si="1"/>
        <v>0.46591171101023199</v>
      </c>
      <c r="J23" s="28"/>
      <c r="K23" s="26">
        <v>140546</v>
      </c>
      <c r="L23" s="26">
        <v>129894</v>
      </c>
      <c r="M23" s="26">
        <v>274042</v>
      </c>
      <c r="N23" s="27">
        <f t="shared" si="2"/>
        <v>0.51286299180417605</v>
      </c>
      <c r="O23" s="27">
        <f t="shared" si="3"/>
        <v>0.47399303756358513</v>
      </c>
    </row>
    <row r="24" spans="1:15" ht="12.75" customHeight="1" x14ac:dyDescent="0.2">
      <c r="A24" s="4" t="s">
        <v>50</v>
      </c>
      <c r="B24" s="4" t="s">
        <v>51</v>
      </c>
      <c r="C24" s="5" t="s">
        <v>8</v>
      </c>
      <c r="D24" s="25"/>
      <c r="E24" s="29">
        <v>122379</v>
      </c>
      <c r="F24" s="29">
        <v>171902</v>
      </c>
      <c r="G24" s="29">
        <v>303928</v>
      </c>
      <c r="H24" s="30">
        <f t="shared" si="0"/>
        <v>0.40265786633676398</v>
      </c>
      <c r="I24" s="30">
        <f t="shared" si="1"/>
        <v>0.56560106340975491</v>
      </c>
      <c r="J24" s="28"/>
      <c r="K24" s="31"/>
      <c r="L24" s="31"/>
      <c r="M24" s="29"/>
      <c r="N24" s="30"/>
      <c r="O24" s="30"/>
    </row>
    <row r="25" spans="1:15" ht="12.75" customHeight="1" x14ac:dyDescent="0.2">
      <c r="A25" s="4" t="s">
        <v>52</v>
      </c>
      <c r="B25" s="4" t="s">
        <v>53</v>
      </c>
      <c r="C25" s="8" t="s">
        <v>23</v>
      </c>
      <c r="D25" s="25"/>
      <c r="E25" s="26">
        <v>230212</v>
      </c>
      <c r="F25" s="26">
        <v>89908</v>
      </c>
      <c r="G25" s="26">
        <v>333442</v>
      </c>
      <c r="H25" s="27">
        <f t="shared" si="0"/>
        <v>0.69041092603811161</v>
      </c>
      <c r="I25" s="27">
        <f t="shared" si="1"/>
        <v>0.26963609863184601</v>
      </c>
      <c r="J25" s="28"/>
      <c r="K25" s="32"/>
      <c r="L25" s="32"/>
      <c r="M25" s="26"/>
      <c r="N25" s="27"/>
      <c r="O25" s="27"/>
    </row>
    <row r="26" spans="1:15" ht="12.75" customHeight="1" x14ac:dyDescent="0.2">
      <c r="A26" s="4" t="s">
        <v>54</v>
      </c>
      <c r="B26" s="4" t="s">
        <v>55</v>
      </c>
      <c r="C26" s="8" t="s">
        <v>23</v>
      </c>
      <c r="D26" s="25"/>
      <c r="E26" s="29">
        <v>131237</v>
      </c>
      <c r="F26" s="29">
        <v>104145</v>
      </c>
      <c r="G26" s="29">
        <v>241687</v>
      </c>
      <c r="H26" s="30">
        <f t="shared" si="0"/>
        <v>0.54300396794200767</v>
      </c>
      <c r="I26" s="30">
        <f t="shared" si="1"/>
        <v>0.43090857183050807</v>
      </c>
      <c r="J26" s="28"/>
      <c r="K26" s="31"/>
      <c r="L26" s="31"/>
      <c r="M26" s="29"/>
      <c r="N26" s="30"/>
      <c r="O26" s="30"/>
    </row>
    <row r="27" spans="1:15" ht="12.75" customHeight="1" x14ac:dyDescent="0.2">
      <c r="A27" s="4" t="s">
        <v>56</v>
      </c>
      <c r="B27" s="4" t="s">
        <v>57</v>
      </c>
      <c r="C27" s="5" t="s">
        <v>8</v>
      </c>
      <c r="D27" s="25"/>
      <c r="E27" s="26">
        <v>133473</v>
      </c>
      <c r="F27" s="26">
        <v>195386</v>
      </c>
      <c r="G27" s="26">
        <v>337634</v>
      </c>
      <c r="H27" s="27">
        <f t="shared" si="0"/>
        <v>0.39531859943015218</v>
      </c>
      <c r="I27" s="27">
        <f t="shared" si="1"/>
        <v>0.57869171943583886</v>
      </c>
      <c r="J27" s="28"/>
      <c r="K27" s="32"/>
      <c r="L27" s="32"/>
      <c r="M27" s="26"/>
      <c r="N27" s="27"/>
      <c r="O27" s="27"/>
    </row>
    <row r="28" spans="1:15" ht="12.75" customHeight="1" x14ac:dyDescent="0.2">
      <c r="A28" s="4" t="s">
        <v>58</v>
      </c>
      <c r="B28" s="4" t="s">
        <v>59</v>
      </c>
      <c r="C28" s="8" t="s">
        <v>23</v>
      </c>
      <c r="D28" s="25"/>
      <c r="E28" s="29">
        <v>199924</v>
      </c>
      <c r="F28" s="29">
        <v>78703</v>
      </c>
      <c r="G28" s="29">
        <v>286658</v>
      </c>
      <c r="H28" s="30">
        <f t="shared" si="0"/>
        <v>0.69743038743031771</v>
      </c>
      <c r="I28" s="30">
        <f t="shared" si="1"/>
        <v>0.2745536492963741</v>
      </c>
      <c r="J28" s="28"/>
      <c r="K28" s="31"/>
      <c r="L28" s="31"/>
      <c r="M28" s="29"/>
      <c r="N28" s="30"/>
      <c r="O28" s="30"/>
    </row>
    <row r="29" spans="1:15" ht="12.75" customHeight="1" x14ac:dyDescent="0.2">
      <c r="A29" s="4" t="s">
        <v>60</v>
      </c>
      <c r="B29" s="4" t="s">
        <v>61</v>
      </c>
      <c r="C29" s="8" t="s">
        <v>23</v>
      </c>
      <c r="D29" s="25"/>
      <c r="E29" s="26">
        <v>156141</v>
      </c>
      <c r="F29" s="26">
        <v>63862</v>
      </c>
      <c r="G29" s="26">
        <v>225831</v>
      </c>
      <c r="H29" s="27">
        <f t="shared" si="0"/>
        <v>0.69140640567504019</v>
      </c>
      <c r="I29" s="27">
        <f t="shared" si="1"/>
        <v>0.28278668561889203</v>
      </c>
      <c r="J29" s="28"/>
      <c r="K29" s="32"/>
      <c r="L29" s="32"/>
      <c r="M29" s="26"/>
      <c r="N29" s="27"/>
      <c r="O29" s="27"/>
    </row>
    <row r="30" spans="1:15" ht="12.75" customHeight="1" x14ac:dyDescent="0.2">
      <c r="A30" s="4" t="s">
        <v>62</v>
      </c>
      <c r="B30" s="4" t="s">
        <v>63</v>
      </c>
      <c r="C30" s="8" t="s">
        <v>23</v>
      </c>
      <c r="D30" s="25"/>
      <c r="E30" s="29">
        <v>145147</v>
      </c>
      <c r="F30" s="29">
        <v>133888</v>
      </c>
      <c r="G30" s="29">
        <v>285997</v>
      </c>
      <c r="H30" s="30">
        <f t="shared" si="0"/>
        <v>0.50751231656276119</v>
      </c>
      <c r="I30" s="30">
        <f t="shared" si="1"/>
        <v>0.46814477074934352</v>
      </c>
      <c r="J30" s="28"/>
      <c r="K30" s="31"/>
      <c r="L30" s="31"/>
      <c r="M30" s="29"/>
      <c r="N30" s="30"/>
      <c r="O30" s="30"/>
    </row>
    <row r="31" spans="1:15" ht="12.75" customHeight="1" x14ac:dyDescent="0.2">
      <c r="A31" s="4" t="s">
        <v>64</v>
      </c>
      <c r="B31" s="4" t="s">
        <v>65</v>
      </c>
      <c r="C31" s="5" t="s">
        <v>8</v>
      </c>
      <c r="D31" s="25"/>
      <c r="E31" s="26">
        <v>88579</v>
      </c>
      <c r="F31" s="26">
        <v>118278</v>
      </c>
      <c r="G31" s="26">
        <v>212633</v>
      </c>
      <c r="H31" s="27">
        <f t="shared" si="0"/>
        <v>0.41658162185549752</v>
      </c>
      <c r="I31" s="27">
        <f t="shared" si="1"/>
        <v>0.5562542032516119</v>
      </c>
      <c r="J31" s="28"/>
      <c r="K31" s="32"/>
      <c r="L31" s="32"/>
      <c r="M31" s="26"/>
      <c r="N31" s="27"/>
      <c r="O31" s="27"/>
    </row>
    <row r="32" spans="1:15" ht="12.75" customHeight="1" x14ac:dyDescent="0.2">
      <c r="A32" s="4" t="s">
        <v>66</v>
      </c>
      <c r="B32" s="4" t="s">
        <v>67</v>
      </c>
      <c r="C32" s="8" t="s">
        <v>23</v>
      </c>
      <c r="D32" s="25"/>
      <c r="E32" s="29">
        <v>127418</v>
      </c>
      <c r="F32" s="29">
        <v>88403</v>
      </c>
      <c r="G32" s="29">
        <v>220312</v>
      </c>
      <c r="H32" s="30">
        <f t="shared" si="0"/>
        <v>0.57835251824684997</v>
      </c>
      <c r="I32" s="30">
        <f t="shared" si="1"/>
        <v>0.40126275463887578</v>
      </c>
      <c r="J32" s="28"/>
      <c r="K32" s="31"/>
      <c r="L32" s="31"/>
      <c r="M32" s="29"/>
      <c r="N32" s="30"/>
      <c r="O32" s="30"/>
    </row>
    <row r="33" spans="1:15" ht="12.75" customHeight="1" x14ac:dyDescent="0.2">
      <c r="A33" s="4" t="s">
        <v>68</v>
      </c>
      <c r="B33" s="4" t="s">
        <v>69</v>
      </c>
      <c r="C33" s="5" t="s">
        <v>8</v>
      </c>
      <c r="D33" s="25"/>
      <c r="E33" s="26">
        <v>108923</v>
      </c>
      <c r="F33" s="26">
        <v>101160</v>
      </c>
      <c r="G33" s="26">
        <v>215113</v>
      </c>
      <c r="H33" s="27">
        <f t="shared" si="0"/>
        <v>0.50635247521070326</v>
      </c>
      <c r="I33" s="27">
        <f t="shared" si="1"/>
        <v>0.47026446565293589</v>
      </c>
      <c r="J33" s="28"/>
      <c r="K33" s="32"/>
      <c r="L33" s="32"/>
      <c r="M33" s="26"/>
      <c r="N33" s="27"/>
      <c r="O33" s="27"/>
    </row>
    <row r="34" spans="1:15" ht="12.75" customHeight="1" x14ac:dyDescent="0.2">
      <c r="A34" s="4" t="s">
        <v>70</v>
      </c>
      <c r="B34" s="4" t="s">
        <v>71</v>
      </c>
      <c r="C34" s="8" t="s">
        <v>23</v>
      </c>
      <c r="D34" s="25"/>
      <c r="E34" s="29">
        <v>203699</v>
      </c>
      <c r="F34" s="29">
        <v>90226</v>
      </c>
      <c r="G34" s="29">
        <v>301134</v>
      </c>
      <c r="H34" s="30">
        <f t="shared" si="0"/>
        <v>0.67643972450802636</v>
      </c>
      <c r="I34" s="30">
        <f t="shared" si="1"/>
        <v>0.29962076683469818</v>
      </c>
      <c r="J34" s="28"/>
      <c r="K34" s="31"/>
      <c r="L34" s="31"/>
      <c r="M34" s="29"/>
      <c r="N34" s="30"/>
      <c r="O34" s="30"/>
    </row>
    <row r="35" spans="1:15" ht="12.75" customHeight="1" x14ac:dyDescent="0.2">
      <c r="A35" s="4" t="s">
        <v>72</v>
      </c>
      <c r="B35" s="4" t="s">
        <v>73</v>
      </c>
      <c r="C35" s="8" t="s">
        <v>23</v>
      </c>
      <c r="D35" s="25"/>
      <c r="E35" s="26">
        <v>269461</v>
      </c>
      <c r="F35" s="26">
        <v>40003</v>
      </c>
      <c r="G35" s="26">
        <v>320387</v>
      </c>
      <c r="H35" s="27">
        <f t="shared" si="0"/>
        <v>0.84104848199209081</v>
      </c>
      <c r="I35" s="27">
        <f t="shared" si="1"/>
        <v>0.12485837440345582</v>
      </c>
      <c r="J35" s="28"/>
      <c r="K35" s="32"/>
      <c r="L35" s="32"/>
      <c r="M35" s="26"/>
      <c r="N35" s="27"/>
      <c r="O35" s="27"/>
    </row>
    <row r="36" spans="1:15" ht="12.75" customHeight="1" x14ac:dyDescent="0.2">
      <c r="A36" s="4" t="s">
        <v>74</v>
      </c>
      <c r="B36" s="4" t="s">
        <v>75</v>
      </c>
      <c r="C36" s="8" t="s">
        <v>23</v>
      </c>
      <c r="D36" s="25"/>
      <c r="E36" s="29">
        <v>268093</v>
      </c>
      <c r="F36" s="29">
        <v>27474</v>
      </c>
      <c r="G36" s="29">
        <v>306314</v>
      </c>
      <c r="H36" s="30">
        <f t="shared" si="0"/>
        <v>0.87522281057999307</v>
      </c>
      <c r="I36" s="30">
        <f t="shared" si="1"/>
        <v>8.9692276552818348E-2</v>
      </c>
      <c r="J36" s="28"/>
      <c r="K36" s="31"/>
      <c r="L36" s="31"/>
      <c r="M36" s="29"/>
      <c r="N36" s="30"/>
      <c r="O36" s="30"/>
    </row>
    <row r="37" spans="1:15" ht="12.75" customHeight="1" x14ac:dyDescent="0.2">
      <c r="A37" s="4" t="s">
        <v>76</v>
      </c>
      <c r="B37" s="4" t="s">
        <v>77</v>
      </c>
      <c r="C37" s="8" t="s">
        <v>23</v>
      </c>
      <c r="D37" s="25"/>
      <c r="E37" s="26">
        <v>200343</v>
      </c>
      <c r="F37" s="26">
        <v>63589</v>
      </c>
      <c r="G37" s="26">
        <v>269882</v>
      </c>
      <c r="H37" s="27">
        <f t="shared" si="0"/>
        <v>0.74233553923566598</v>
      </c>
      <c r="I37" s="27">
        <f t="shared" si="1"/>
        <v>0.23561778851498061</v>
      </c>
      <c r="J37" s="28"/>
      <c r="K37" s="32"/>
      <c r="L37" s="32"/>
      <c r="M37" s="26"/>
      <c r="N37" s="27"/>
      <c r="O37" s="27"/>
    </row>
    <row r="38" spans="1:15" ht="12.75" customHeight="1" x14ac:dyDescent="0.2">
      <c r="A38" s="4" t="s">
        <v>78</v>
      </c>
      <c r="B38" s="4" t="s">
        <v>79</v>
      </c>
      <c r="C38" s="8" t="s">
        <v>23</v>
      </c>
      <c r="D38" s="25"/>
      <c r="E38" s="29">
        <v>177243</v>
      </c>
      <c r="F38" s="29">
        <v>77748</v>
      </c>
      <c r="G38" s="29">
        <v>260611</v>
      </c>
      <c r="H38" s="30">
        <f t="shared" si="0"/>
        <v>0.68010559799854953</v>
      </c>
      <c r="I38" s="30">
        <f t="shared" si="1"/>
        <v>0.29832969444881452</v>
      </c>
      <c r="J38" s="28"/>
      <c r="K38" s="31"/>
      <c r="L38" s="31"/>
      <c r="M38" s="29"/>
      <c r="N38" s="30"/>
      <c r="O38" s="30"/>
    </row>
    <row r="39" spans="1:15" ht="12.75" customHeight="1" x14ac:dyDescent="0.2">
      <c r="A39" s="4" t="s">
        <v>80</v>
      </c>
      <c r="B39" s="4" t="s">
        <v>81</v>
      </c>
      <c r="C39" s="8" t="s">
        <v>23</v>
      </c>
      <c r="D39" s="25"/>
      <c r="E39" s="26">
        <v>88973</v>
      </c>
      <c r="F39" s="26">
        <v>59808</v>
      </c>
      <c r="G39" s="26">
        <v>151953</v>
      </c>
      <c r="H39" s="27">
        <f t="shared" si="0"/>
        <v>0.58552973616842052</v>
      </c>
      <c r="I39" s="27">
        <f t="shared" si="1"/>
        <v>0.39359538804762001</v>
      </c>
      <c r="J39" s="28"/>
      <c r="K39" s="32"/>
      <c r="L39" s="32"/>
      <c r="M39" s="26"/>
      <c r="N39" s="27"/>
      <c r="O39" s="27"/>
    </row>
    <row r="40" spans="1:15" ht="12.75" customHeight="1" x14ac:dyDescent="0.2">
      <c r="A40" s="4" t="s">
        <v>82</v>
      </c>
      <c r="B40" s="4" t="s">
        <v>83</v>
      </c>
      <c r="C40" s="8" t="s">
        <v>23</v>
      </c>
      <c r="D40" s="25"/>
      <c r="E40" s="29">
        <v>163862</v>
      </c>
      <c r="F40" s="29">
        <v>58193</v>
      </c>
      <c r="G40" s="29">
        <v>227806</v>
      </c>
      <c r="H40" s="30">
        <f t="shared" si="0"/>
        <v>0.71930502269474905</v>
      </c>
      <c r="I40" s="30">
        <f t="shared" si="1"/>
        <v>0.25544981255980964</v>
      </c>
      <c r="J40" s="28"/>
      <c r="K40" s="31"/>
      <c r="L40" s="31"/>
      <c r="M40" s="29"/>
      <c r="N40" s="30"/>
      <c r="O40" s="30"/>
    </row>
    <row r="41" spans="1:15" ht="12.75" customHeight="1" x14ac:dyDescent="0.2">
      <c r="A41" s="4" t="s">
        <v>84</v>
      </c>
      <c r="B41" s="4" t="s">
        <v>85</v>
      </c>
      <c r="C41" s="8" t="s">
        <v>23</v>
      </c>
      <c r="D41" s="25"/>
      <c r="E41" s="26">
        <v>218082</v>
      </c>
      <c r="F41" s="26">
        <v>92457</v>
      </c>
      <c r="G41" s="26">
        <v>319615</v>
      </c>
      <c r="H41" s="27">
        <f t="shared" si="0"/>
        <v>0.68232717488228023</v>
      </c>
      <c r="I41" s="27">
        <f t="shared" si="1"/>
        <v>0.28927616038045773</v>
      </c>
      <c r="J41" s="28"/>
      <c r="K41" s="32"/>
      <c r="L41" s="32"/>
      <c r="M41" s="26"/>
      <c r="N41" s="27"/>
      <c r="O41" s="27"/>
    </row>
    <row r="42" spans="1:15" ht="12.75" customHeight="1" x14ac:dyDescent="0.2">
      <c r="A42" s="4" t="s">
        <v>86</v>
      </c>
      <c r="B42" s="4" t="s">
        <v>87</v>
      </c>
      <c r="C42" s="8" t="s">
        <v>23</v>
      </c>
      <c r="D42" s="25"/>
      <c r="E42" s="29">
        <v>165530</v>
      </c>
      <c r="F42" s="29">
        <v>61643</v>
      </c>
      <c r="G42" s="29">
        <v>232442</v>
      </c>
      <c r="H42" s="30">
        <f t="shared" si="0"/>
        <v>0.71213464003923554</v>
      </c>
      <c r="I42" s="30">
        <f t="shared" si="1"/>
        <v>0.26519733955137198</v>
      </c>
      <c r="J42" s="28"/>
      <c r="K42" s="31"/>
      <c r="L42" s="31"/>
      <c r="M42" s="29"/>
      <c r="N42" s="30"/>
      <c r="O42" s="30"/>
    </row>
    <row r="43" spans="1:15" ht="12.75" customHeight="1" x14ac:dyDescent="0.2">
      <c r="A43" s="4" t="s">
        <v>88</v>
      </c>
      <c r="B43" s="4" t="s">
        <v>89</v>
      </c>
      <c r="C43" s="8" t="s">
        <v>23</v>
      </c>
      <c r="D43" s="25"/>
      <c r="E43" s="26">
        <v>168956</v>
      </c>
      <c r="F43" s="26">
        <v>62427</v>
      </c>
      <c r="G43" s="26">
        <v>238341</v>
      </c>
      <c r="H43" s="27">
        <f t="shared" si="0"/>
        <v>0.70888349046114596</v>
      </c>
      <c r="I43" s="27">
        <f t="shared" si="1"/>
        <v>0.26192304303497932</v>
      </c>
      <c r="J43" s="28"/>
      <c r="K43" s="32"/>
      <c r="L43" s="32"/>
      <c r="M43" s="26"/>
      <c r="N43" s="27"/>
      <c r="O43" s="27"/>
    </row>
    <row r="44" spans="1:15" ht="12.75" customHeight="1" x14ac:dyDescent="0.2">
      <c r="A44" s="4" t="s">
        <v>90</v>
      </c>
      <c r="B44" s="4" t="s">
        <v>91</v>
      </c>
      <c r="C44" s="5" t="s">
        <v>8</v>
      </c>
      <c r="D44" s="25"/>
      <c r="E44" s="29">
        <v>65146</v>
      </c>
      <c r="F44" s="29">
        <v>51917</v>
      </c>
      <c r="G44" s="29">
        <v>119232</v>
      </c>
      <c r="H44" s="30">
        <f t="shared" si="0"/>
        <v>0.54638016639828235</v>
      </c>
      <c r="I44" s="30">
        <f t="shared" si="1"/>
        <v>0.43542840848094472</v>
      </c>
      <c r="J44" s="28"/>
      <c r="K44" s="31"/>
      <c r="L44" s="31"/>
      <c r="M44" s="29"/>
      <c r="N44" s="30"/>
      <c r="O44" s="30"/>
    </row>
    <row r="45" spans="1:15" ht="12.75" customHeight="1" x14ac:dyDescent="0.2">
      <c r="A45" s="4" t="s">
        <v>92</v>
      </c>
      <c r="B45" s="4" t="s">
        <v>93</v>
      </c>
      <c r="C45" s="5" t="s">
        <v>8</v>
      </c>
      <c r="D45" s="25"/>
      <c r="E45" s="26">
        <v>92005</v>
      </c>
      <c r="F45" s="26">
        <v>125213</v>
      </c>
      <c r="G45" s="26">
        <v>221278</v>
      </c>
      <c r="H45" s="27">
        <f t="shared" si="0"/>
        <v>0.41578918826092065</v>
      </c>
      <c r="I45" s="27">
        <f t="shared" si="1"/>
        <v>0.56586285125498237</v>
      </c>
      <c r="J45" s="28"/>
      <c r="K45" s="32"/>
      <c r="L45" s="32"/>
      <c r="M45" s="26"/>
      <c r="N45" s="27"/>
      <c r="O45" s="27"/>
    </row>
    <row r="46" spans="1:15" ht="12.75" customHeight="1" x14ac:dyDescent="0.2">
      <c r="A46" s="4" t="s">
        <v>94</v>
      </c>
      <c r="B46" s="4" t="s">
        <v>95</v>
      </c>
      <c r="C46" s="5" t="s">
        <v>8</v>
      </c>
      <c r="D46" s="25"/>
      <c r="E46" s="29">
        <v>82119</v>
      </c>
      <c r="F46" s="29">
        <v>139816</v>
      </c>
      <c r="G46" s="29">
        <v>227297</v>
      </c>
      <c r="H46" s="30">
        <f t="shared" si="0"/>
        <v>0.36128501476042357</v>
      </c>
      <c r="I46" s="30">
        <f t="shared" si="1"/>
        <v>0.61512470468154001</v>
      </c>
      <c r="J46" s="28"/>
      <c r="K46" s="31"/>
      <c r="L46" s="31"/>
      <c r="M46" s="29"/>
      <c r="N46" s="30"/>
      <c r="O46" s="30"/>
    </row>
    <row r="47" spans="1:15" ht="12.75" customHeight="1" x14ac:dyDescent="0.2">
      <c r="A47" s="4" t="s">
        <v>96</v>
      </c>
      <c r="B47" s="4" t="s">
        <v>97</v>
      </c>
      <c r="C47" s="8" t="s">
        <v>23</v>
      </c>
      <c r="D47" s="25"/>
      <c r="E47" s="26">
        <v>158119</v>
      </c>
      <c r="F47" s="26">
        <v>126049</v>
      </c>
      <c r="G47" s="26">
        <v>292406</v>
      </c>
      <c r="H47" s="27">
        <f t="shared" si="0"/>
        <v>0.54075155776557249</v>
      </c>
      <c r="I47" s="27">
        <f t="shared" si="1"/>
        <v>0.43107528573285092</v>
      </c>
      <c r="J47" s="28"/>
      <c r="K47" s="32"/>
      <c r="L47" s="32"/>
      <c r="M47" s="26"/>
      <c r="N47" s="27"/>
      <c r="O47" s="27"/>
    </row>
    <row r="48" spans="1:15" x14ac:dyDescent="0.2">
      <c r="A48" s="4" t="s">
        <v>98</v>
      </c>
      <c r="B48" s="4" t="s">
        <v>99</v>
      </c>
      <c r="C48" s="5" t="s">
        <v>8</v>
      </c>
      <c r="D48" s="25"/>
      <c r="E48" s="29">
        <v>120701</v>
      </c>
      <c r="F48" s="29">
        <v>125258</v>
      </c>
      <c r="G48" s="29">
        <v>252249</v>
      </c>
      <c r="H48" s="30">
        <f t="shared" si="0"/>
        <v>0.478499419224655</v>
      </c>
      <c r="I48" s="30">
        <f t="shared" si="1"/>
        <v>0.49656490214034543</v>
      </c>
      <c r="J48" s="28"/>
      <c r="K48" s="31"/>
      <c r="L48" s="31"/>
      <c r="M48" s="29"/>
      <c r="N48" s="30"/>
      <c r="O48" s="30"/>
    </row>
    <row r="49" spans="1:15" x14ac:dyDescent="0.2">
      <c r="A49" s="4" t="s">
        <v>100</v>
      </c>
      <c r="B49" s="4" t="s">
        <v>101</v>
      </c>
      <c r="C49" s="8" t="s">
        <v>23</v>
      </c>
      <c r="D49" s="25"/>
      <c r="E49" s="26">
        <v>147753</v>
      </c>
      <c r="F49" s="26">
        <v>119677</v>
      </c>
      <c r="G49" s="26">
        <v>273647</v>
      </c>
      <c r="H49" s="27">
        <f t="shared" si="0"/>
        <v>0.53994014186159545</v>
      </c>
      <c r="I49" s="27">
        <f t="shared" si="1"/>
        <v>0.43734080768289074</v>
      </c>
      <c r="J49" s="28"/>
      <c r="K49" s="32"/>
      <c r="L49" s="32"/>
      <c r="M49" s="26"/>
      <c r="N49" s="27"/>
      <c r="O49" s="27"/>
    </row>
    <row r="50" spans="1:15" x14ac:dyDescent="0.2">
      <c r="A50" s="4" t="s">
        <v>102</v>
      </c>
      <c r="B50" s="4" t="s">
        <v>103</v>
      </c>
      <c r="C50" s="8" t="s">
        <v>23</v>
      </c>
      <c r="D50" s="25"/>
      <c r="E50" s="29">
        <v>161528</v>
      </c>
      <c r="F50" s="29">
        <v>90278</v>
      </c>
      <c r="G50" s="29">
        <v>257970</v>
      </c>
      <c r="H50" s="30">
        <f t="shared" si="0"/>
        <v>0.62615032755746791</v>
      </c>
      <c r="I50" s="30">
        <f t="shared" si="1"/>
        <v>0.3499554211730046</v>
      </c>
      <c r="J50" s="28"/>
      <c r="K50" s="31"/>
      <c r="L50" s="31"/>
      <c r="M50" s="29"/>
      <c r="N50" s="30"/>
      <c r="O50" s="30"/>
    </row>
    <row r="51" spans="1:15" x14ac:dyDescent="0.2">
      <c r="A51" s="4" t="s">
        <v>104</v>
      </c>
      <c r="B51" s="4" t="s">
        <v>105</v>
      </c>
      <c r="C51" s="8" t="s">
        <v>23</v>
      </c>
      <c r="D51" s="25"/>
      <c r="E51" s="26">
        <v>187441</v>
      </c>
      <c r="F51" s="26">
        <v>70757</v>
      </c>
      <c r="G51" s="26">
        <v>266628</v>
      </c>
      <c r="H51" s="27">
        <f t="shared" si="0"/>
        <v>0.70300568582444456</v>
      </c>
      <c r="I51" s="27">
        <f t="shared" si="1"/>
        <v>0.26537722969830624</v>
      </c>
      <c r="J51" s="28"/>
      <c r="K51" s="32"/>
      <c r="L51" s="32"/>
      <c r="M51" s="26"/>
      <c r="N51" s="27"/>
      <c r="O51" s="27"/>
    </row>
    <row r="52" spans="1:15" x14ac:dyDescent="0.2">
      <c r="A52" s="4" t="s">
        <v>106</v>
      </c>
      <c r="B52" s="4" t="s">
        <v>107</v>
      </c>
      <c r="C52" s="8" t="s">
        <v>23</v>
      </c>
      <c r="D52" s="25"/>
      <c r="E52" s="29">
        <v>129323</v>
      </c>
      <c r="F52" s="29">
        <v>34454</v>
      </c>
      <c r="G52" s="29">
        <v>167889</v>
      </c>
      <c r="H52" s="30">
        <f t="shared" si="0"/>
        <v>0.77028870265473026</v>
      </c>
      <c r="I52" s="30">
        <f t="shared" si="1"/>
        <v>0.20521892440838888</v>
      </c>
      <c r="J52" s="28"/>
      <c r="K52" s="31"/>
      <c r="L52" s="31"/>
      <c r="M52" s="29"/>
      <c r="N52" s="30"/>
      <c r="O52" s="30"/>
    </row>
    <row r="53" spans="1:15" x14ac:dyDescent="0.2">
      <c r="A53" s="4" t="s">
        <v>108</v>
      </c>
      <c r="B53" s="4" t="s">
        <v>109</v>
      </c>
      <c r="C53" s="8" t="s">
        <v>23</v>
      </c>
      <c r="D53" s="25"/>
      <c r="E53" s="26">
        <v>186301</v>
      </c>
      <c r="F53" s="26">
        <v>91680</v>
      </c>
      <c r="G53" s="26">
        <v>285226</v>
      </c>
      <c r="H53" s="27">
        <f t="shared" si="0"/>
        <v>0.65316976713202868</v>
      </c>
      <c r="I53" s="27">
        <f t="shared" si="1"/>
        <v>0.32142932271251567</v>
      </c>
      <c r="J53" s="28"/>
      <c r="K53" s="32"/>
      <c r="L53" s="32"/>
      <c r="M53" s="26"/>
      <c r="N53" s="27"/>
      <c r="O53" s="27"/>
    </row>
    <row r="54" spans="1:15" x14ac:dyDescent="0.2">
      <c r="A54" s="4" t="s">
        <v>110</v>
      </c>
      <c r="B54" s="4" t="s">
        <v>111</v>
      </c>
      <c r="C54" s="8" t="s">
        <v>23</v>
      </c>
      <c r="D54" s="25"/>
      <c r="E54" s="29">
        <v>118043</v>
      </c>
      <c r="F54" s="29">
        <v>83822</v>
      </c>
      <c r="G54" s="29">
        <v>206242</v>
      </c>
      <c r="H54" s="30">
        <f t="shared" si="0"/>
        <v>0.5723518972857129</v>
      </c>
      <c r="I54" s="30">
        <f t="shared" si="1"/>
        <v>0.40642546135122815</v>
      </c>
      <c r="J54" s="28"/>
      <c r="K54" s="31"/>
      <c r="L54" s="31"/>
      <c r="M54" s="29"/>
      <c r="N54" s="30"/>
      <c r="O54" s="30"/>
    </row>
    <row r="55" spans="1:15" x14ac:dyDescent="0.2">
      <c r="A55" s="4" t="s">
        <v>112</v>
      </c>
      <c r="B55" s="4" t="s">
        <v>113</v>
      </c>
      <c r="C55" s="8" t="s">
        <v>23</v>
      </c>
      <c r="D55" s="25"/>
      <c r="E55" s="26">
        <v>133061</v>
      </c>
      <c r="F55" s="26">
        <v>66269</v>
      </c>
      <c r="G55" s="26">
        <v>204169</v>
      </c>
      <c r="H55" s="27">
        <f t="shared" si="0"/>
        <v>0.65171989871136171</v>
      </c>
      <c r="I55" s="27">
        <f t="shared" si="1"/>
        <v>0.32457914766688378</v>
      </c>
      <c r="J55" s="28"/>
      <c r="K55" s="32"/>
      <c r="L55" s="32"/>
      <c r="M55" s="26"/>
      <c r="N55" s="27"/>
      <c r="O55" s="27"/>
    </row>
    <row r="56" spans="1:15" x14ac:dyDescent="0.2">
      <c r="A56" s="4" t="s">
        <v>114</v>
      </c>
      <c r="B56" s="4" t="s">
        <v>115</v>
      </c>
      <c r="C56" s="8" t="s">
        <v>23</v>
      </c>
      <c r="D56" s="25"/>
      <c r="E56" s="29">
        <v>210010</v>
      </c>
      <c r="F56" s="29">
        <v>127421</v>
      </c>
      <c r="G56" s="29">
        <v>346504</v>
      </c>
      <c r="H56" s="30">
        <f t="shared" si="0"/>
        <v>0.60608246946644195</v>
      </c>
      <c r="I56" s="30">
        <f t="shared" si="1"/>
        <v>0.36773312862189184</v>
      </c>
      <c r="J56" s="28"/>
      <c r="K56" s="31"/>
      <c r="L56" s="31"/>
      <c r="M56" s="29"/>
      <c r="N56" s="30"/>
      <c r="O56" s="30"/>
    </row>
    <row r="57" spans="1:15" x14ac:dyDescent="0.2">
      <c r="A57" s="4" t="s">
        <v>116</v>
      </c>
      <c r="B57" s="4" t="s">
        <v>117</v>
      </c>
      <c r="C57" s="8" t="s">
        <v>23</v>
      </c>
      <c r="D57" s="25"/>
      <c r="E57" s="26">
        <v>127510</v>
      </c>
      <c r="F57" s="26">
        <v>21739</v>
      </c>
      <c r="G57" s="26">
        <v>153699</v>
      </c>
      <c r="H57" s="27">
        <f t="shared" si="0"/>
        <v>0.82960852054990597</v>
      </c>
      <c r="I57" s="27">
        <f t="shared" si="1"/>
        <v>0.14143878619899936</v>
      </c>
      <c r="J57" s="28"/>
      <c r="K57" s="32"/>
      <c r="L57" s="32"/>
      <c r="M57" s="26"/>
      <c r="N57" s="27"/>
      <c r="O57" s="27"/>
    </row>
    <row r="58" spans="1:15" x14ac:dyDescent="0.2">
      <c r="A58" s="4" t="s">
        <v>118</v>
      </c>
      <c r="B58" s="4" t="s">
        <v>119</v>
      </c>
      <c r="C58" s="8" t="s">
        <v>23</v>
      </c>
      <c r="D58" s="25"/>
      <c r="E58" s="29">
        <v>108983</v>
      </c>
      <c r="F58" s="29">
        <v>49433</v>
      </c>
      <c r="G58" s="29">
        <v>161732</v>
      </c>
      <c r="H58" s="30">
        <f t="shared" si="0"/>
        <v>0.6738493309920115</v>
      </c>
      <c r="I58" s="30">
        <f t="shared" si="1"/>
        <v>0.30564761457225531</v>
      </c>
      <c r="J58" s="28"/>
      <c r="K58" s="31"/>
      <c r="L58" s="31"/>
      <c r="M58" s="29"/>
      <c r="N58" s="30"/>
      <c r="O58" s="30"/>
    </row>
    <row r="59" spans="1:15" x14ac:dyDescent="0.2">
      <c r="A59" s="4" t="s">
        <v>120</v>
      </c>
      <c r="B59" s="4" t="s">
        <v>121</v>
      </c>
      <c r="C59" s="8" t="s">
        <v>23</v>
      </c>
      <c r="D59" s="25"/>
      <c r="E59" s="26">
        <v>107914</v>
      </c>
      <c r="F59" s="26">
        <v>101156</v>
      </c>
      <c r="G59" s="26">
        <v>212939</v>
      </c>
      <c r="H59" s="27">
        <f t="shared" si="0"/>
        <v>0.50678363287138573</v>
      </c>
      <c r="I59" s="27">
        <f t="shared" si="1"/>
        <v>0.47504684440144829</v>
      </c>
      <c r="J59" s="28"/>
      <c r="K59" s="32"/>
      <c r="L59" s="32"/>
      <c r="M59" s="26"/>
      <c r="N59" s="27"/>
      <c r="O59" s="27"/>
    </row>
    <row r="60" spans="1:15" x14ac:dyDescent="0.2">
      <c r="A60" s="4" t="s">
        <v>122</v>
      </c>
      <c r="B60" s="4" t="s">
        <v>123</v>
      </c>
      <c r="C60" s="8" t="s">
        <v>23</v>
      </c>
      <c r="D60" s="25"/>
      <c r="E60" s="29">
        <v>222329</v>
      </c>
      <c r="F60" s="29">
        <v>33307</v>
      </c>
      <c r="G60" s="29">
        <v>261858</v>
      </c>
      <c r="H60" s="30">
        <f t="shared" si="0"/>
        <v>0.84904413842616988</v>
      </c>
      <c r="I60" s="30">
        <f t="shared" si="1"/>
        <v>0.12719489188796981</v>
      </c>
      <c r="J60" s="28"/>
      <c r="K60" s="31"/>
      <c r="L60" s="31"/>
      <c r="M60" s="29"/>
      <c r="N60" s="30"/>
      <c r="O60" s="30"/>
    </row>
    <row r="61" spans="1:15" x14ac:dyDescent="0.2">
      <c r="A61" s="4" t="s">
        <v>124</v>
      </c>
      <c r="B61" s="4" t="s">
        <v>125</v>
      </c>
      <c r="C61" s="8" t="s">
        <v>23</v>
      </c>
      <c r="D61" s="25"/>
      <c r="E61" s="26">
        <v>149141</v>
      </c>
      <c r="F61" s="26">
        <v>75780</v>
      </c>
      <c r="G61" s="26">
        <v>229875</v>
      </c>
      <c r="H61" s="27">
        <f t="shared" si="0"/>
        <v>0.64879173463839046</v>
      </c>
      <c r="I61" s="27">
        <f t="shared" si="1"/>
        <v>0.3296574225122349</v>
      </c>
      <c r="J61" s="28"/>
      <c r="K61" s="32"/>
      <c r="L61" s="32"/>
      <c r="M61" s="26"/>
      <c r="N61" s="27"/>
      <c r="O61" s="27"/>
    </row>
    <row r="62" spans="1:15" x14ac:dyDescent="0.2">
      <c r="A62" s="4" t="s">
        <v>126</v>
      </c>
      <c r="B62" s="4" t="s">
        <v>127</v>
      </c>
      <c r="C62" s="5" t="s">
        <v>8</v>
      </c>
      <c r="D62" s="25"/>
      <c r="E62" s="29">
        <v>124108</v>
      </c>
      <c r="F62" s="29">
        <v>133742</v>
      </c>
      <c r="G62" s="29">
        <v>263530</v>
      </c>
      <c r="H62" s="30">
        <f t="shared" si="0"/>
        <v>0.47094448449891851</v>
      </c>
      <c r="I62" s="30">
        <f t="shared" si="1"/>
        <v>0.50750199218305314</v>
      </c>
      <c r="J62" s="28"/>
      <c r="K62" s="31"/>
      <c r="L62" s="31"/>
      <c r="M62" s="29"/>
      <c r="N62" s="30"/>
      <c r="O62" s="30"/>
    </row>
    <row r="63" spans="1:15" x14ac:dyDescent="0.2">
      <c r="A63" s="4" t="s">
        <v>128</v>
      </c>
      <c r="B63" s="4" t="s">
        <v>129</v>
      </c>
      <c r="C63" s="8" t="s">
        <v>23</v>
      </c>
      <c r="D63" s="25"/>
      <c r="E63" s="26">
        <v>115637</v>
      </c>
      <c r="F63" s="26">
        <v>23446</v>
      </c>
      <c r="G63" s="26">
        <v>141918</v>
      </c>
      <c r="H63" s="27">
        <f t="shared" si="0"/>
        <v>0.81481559773953971</v>
      </c>
      <c r="I63" s="27">
        <f t="shared" si="1"/>
        <v>0.16520807790414183</v>
      </c>
      <c r="J63" s="28"/>
      <c r="K63" s="32"/>
      <c r="L63" s="32"/>
      <c r="M63" s="26"/>
      <c r="N63" s="27"/>
      <c r="O63" s="27"/>
    </row>
    <row r="64" spans="1:15" x14ac:dyDescent="0.2">
      <c r="A64" s="4" t="s">
        <v>130</v>
      </c>
      <c r="B64" s="4" t="s">
        <v>131</v>
      </c>
      <c r="C64" s="8" t="s">
        <v>23</v>
      </c>
      <c r="D64" s="25"/>
      <c r="E64" s="29">
        <v>114040</v>
      </c>
      <c r="F64" s="29">
        <v>67314</v>
      </c>
      <c r="G64" s="29">
        <v>185429</v>
      </c>
      <c r="H64" s="30">
        <f t="shared" si="0"/>
        <v>0.61500628272816016</v>
      </c>
      <c r="I64" s="30">
        <f t="shared" si="1"/>
        <v>0.36301765096074506</v>
      </c>
      <c r="J64" s="28"/>
      <c r="K64" s="31"/>
      <c r="L64" s="31"/>
      <c r="M64" s="29"/>
      <c r="N64" s="30"/>
      <c r="O64" s="30"/>
    </row>
    <row r="65" spans="1:15" x14ac:dyDescent="0.2">
      <c r="A65" s="4" t="s">
        <v>132</v>
      </c>
      <c r="B65" s="4" t="s">
        <v>133</v>
      </c>
      <c r="C65" s="5" t="s">
        <v>8</v>
      </c>
      <c r="D65" s="25"/>
      <c r="E65" s="26">
        <v>96212</v>
      </c>
      <c r="F65" s="26">
        <v>131438</v>
      </c>
      <c r="G65" s="26">
        <v>232520</v>
      </c>
      <c r="H65" s="27">
        <f t="shared" si="0"/>
        <v>0.41377945983141234</v>
      </c>
      <c r="I65" s="27">
        <f t="shared" si="1"/>
        <v>0.56527610528126615</v>
      </c>
      <c r="J65" s="28"/>
      <c r="K65" s="32"/>
      <c r="L65" s="32"/>
      <c r="M65" s="26"/>
      <c r="N65" s="27"/>
      <c r="O65" s="27"/>
    </row>
    <row r="66" spans="1:15" x14ac:dyDescent="0.2">
      <c r="A66" s="4" t="s">
        <v>134</v>
      </c>
      <c r="B66" s="4" t="s">
        <v>135</v>
      </c>
      <c r="C66" s="8" t="s">
        <v>23</v>
      </c>
      <c r="D66" s="25"/>
      <c r="E66" s="29">
        <v>173342</v>
      </c>
      <c r="F66" s="29">
        <v>44485</v>
      </c>
      <c r="G66" s="29">
        <v>222219</v>
      </c>
      <c r="H66" s="30">
        <f t="shared" si="0"/>
        <v>0.78005031072950559</v>
      </c>
      <c r="I66" s="30">
        <f t="shared" si="1"/>
        <v>0.20018540268833898</v>
      </c>
      <c r="J66" s="28"/>
      <c r="K66" s="31"/>
      <c r="L66" s="31"/>
      <c r="M66" s="29"/>
      <c r="N66" s="30"/>
      <c r="O66" s="30"/>
    </row>
    <row r="67" spans="1:15" x14ac:dyDescent="0.2">
      <c r="A67" s="4" t="s">
        <v>136</v>
      </c>
      <c r="B67" s="10" t="s">
        <v>137</v>
      </c>
      <c r="C67" s="8" t="s">
        <v>23</v>
      </c>
      <c r="D67" s="25"/>
      <c r="E67" s="26">
        <v>155459</v>
      </c>
      <c r="F67" s="26">
        <v>24995</v>
      </c>
      <c r="G67" s="26">
        <v>183586</v>
      </c>
      <c r="H67" s="27">
        <f t="shared" si="0"/>
        <v>0.84679114965193425</v>
      </c>
      <c r="I67" s="27">
        <f t="shared" si="1"/>
        <v>0.13614872593770766</v>
      </c>
      <c r="J67" s="28"/>
      <c r="K67" s="32"/>
      <c r="L67" s="32"/>
      <c r="M67" s="26"/>
      <c r="N67" s="27"/>
      <c r="O67" s="27"/>
    </row>
    <row r="68" spans="1:15" x14ac:dyDescent="0.2">
      <c r="A68" s="4" t="s">
        <v>138</v>
      </c>
      <c r="B68" s="4" t="s">
        <v>139</v>
      </c>
      <c r="C68" s="5" t="s">
        <v>8</v>
      </c>
      <c r="D68" s="25"/>
      <c r="E68" s="29">
        <v>133114</v>
      </c>
      <c r="F68" s="29">
        <v>169489</v>
      </c>
      <c r="G68" s="29">
        <v>309399</v>
      </c>
      <c r="H68" s="30">
        <f t="shared" si="0"/>
        <v>0.43023409901130905</v>
      </c>
      <c r="I68" s="30">
        <f t="shared" si="1"/>
        <v>0.54780073626611592</v>
      </c>
      <c r="J68" s="28"/>
      <c r="K68" s="31"/>
      <c r="L68" s="31"/>
      <c r="M68" s="29"/>
      <c r="N68" s="30"/>
      <c r="O68" s="30"/>
    </row>
    <row r="69" spans="1:15" x14ac:dyDescent="0.2">
      <c r="A69" s="4" t="s">
        <v>140</v>
      </c>
      <c r="B69" s="4" t="s">
        <v>141</v>
      </c>
      <c r="C69" s="8" t="s">
        <v>23</v>
      </c>
      <c r="D69" s="25"/>
      <c r="E69" s="26">
        <v>95479</v>
      </c>
      <c r="F69" s="26">
        <v>56252</v>
      </c>
      <c r="G69" s="26">
        <v>155493</v>
      </c>
      <c r="H69" s="27">
        <f t="shared" si="0"/>
        <v>0.61404050343102257</v>
      </c>
      <c r="I69" s="27">
        <f t="shared" si="1"/>
        <v>0.36176548140430759</v>
      </c>
      <c r="J69" s="28"/>
      <c r="K69" s="32"/>
      <c r="L69" s="32"/>
      <c r="M69" s="26"/>
      <c r="N69" s="27"/>
      <c r="O69" s="27"/>
    </row>
    <row r="70" spans="1:15" x14ac:dyDescent="0.2">
      <c r="A70" s="4" t="s">
        <v>142</v>
      </c>
      <c r="B70" s="4" t="s">
        <v>143</v>
      </c>
      <c r="C70" s="8" t="s">
        <v>23</v>
      </c>
      <c r="D70" s="25"/>
      <c r="E70" s="29">
        <v>147456</v>
      </c>
      <c r="F70" s="29">
        <v>92010</v>
      </c>
      <c r="G70" s="29">
        <v>245624</v>
      </c>
      <c r="H70" s="30">
        <f t="shared" si="0"/>
        <v>0.60033221509298762</v>
      </c>
      <c r="I70" s="30">
        <f t="shared" si="1"/>
        <v>0.37459694492394879</v>
      </c>
      <c r="J70" s="28"/>
      <c r="K70" s="31"/>
      <c r="L70" s="31"/>
      <c r="M70" s="29"/>
      <c r="N70" s="30"/>
      <c r="O70" s="30"/>
    </row>
    <row r="71" spans="1:15" x14ac:dyDescent="0.2">
      <c r="A71" s="4" t="s">
        <v>144</v>
      </c>
      <c r="B71" s="4" t="s">
        <v>145</v>
      </c>
      <c r="C71" s="5" t="s">
        <v>8</v>
      </c>
      <c r="D71" s="25"/>
      <c r="E71" s="26">
        <v>133103</v>
      </c>
      <c r="F71" s="26">
        <v>169249</v>
      </c>
      <c r="G71" s="26">
        <v>309496</v>
      </c>
      <c r="H71" s="27">
        <f t="shared" si="0"/>
        <v>0.43006371649391267</v>
      </c>
      <c r="I71" s="27">
        <f t="shared" si="1"/>
        <v>0.54685359423062008</v>
      </c>
      <c r="J71" s="28"/>
      <c r="K71" s="32"/>
      <c r="L71" s="32"/>
      <c r="M71" s="26"/>
      <c r="N71" s="27"/>
      <c r="O71" s="27"/>
    </row>
    <row r="72" spans="1:15" x14ac:dyDescent="0.2">
      <c r="A72" s="4" t="s">
        <v>146</v>
      </c>
      <c r="B72" s="4" t="s">
        <v>147</v>
      </c>
      <c r="C72" s="5" t="s">
        <v>8</v>
      </c>
      <c r="D72" s="25"/>
      <c r="E72" s="29">
        <v>134447</v>
      </c>
      <c r="F72" s="29">
        <v>153856</v>
      </c>
      <c r="G72" s="29">
        <v>294468</v>
      </c>
      <c r="H72" s="30">
        <f t="shared" si="0"/>
        <v>0.45657592675604819</v>
      </c>
      <c r="I72" s="30">
        <f t="shared" si="1"/>
        <v>0.52248801227977237</v>
      </c>
      <c r="J72" s="28"/>
      <c r="K72" s="31"/>
      <c r="L72" s="31"/>
      <c r="M72" s="29"/>
      <c r="N72" s="30"/>
      <c r="O72" s="30"/>
    </row>
    <row r="73" spans="1:15" x14ac:dyDescent="0.2">
      <c r="A73" s="4" t="s">
        <v>148</v>
      </c>
      <c r="B73" s="4" t="s">
        <v>149</v>
      </c>
      <c r="C73" s="5" t="s">
        <v>8</v>
      </c>
      <c r="D73" s="25"/>
      <c r="E73" s="26">
        <v>102649</v>
      </c>
      <c r="F73" s="26">
        <v>165104</v>
      </c>
      <c r="G73" s="26">
        <v>273289</v>
      </c>
      <c r="H73" s="27">
        <f t="shared" si="0"/>
        <v>0.37560604341923753</v>
      </c>
      <c r="I73" s="27">
        <f t="shared" si="1"/>
        <v>0.60413701246665619</v>
      </c>
      <c r="J73" s="28"/>
      <c r="K73" s="32"/>
      <c r="L73" s="32"/>
      <c r="M73" s="26"/>
      <c r="N73" s="27"/>
      <c r="O73" s="27"/>
    </row>
    <row r="74" spans="1:15" x14ac:dyDescent="0.2">
      <c r="A74" s="4" t="s">
        <v>150</v>
      </c>
      <c r="B74" s="4" t="s">
        <v>151</v>
      </c>
      <c r="C74" s="8" t="s">
        <v>23</v>
      </c>
      <c r="D74" s="25"/>
      <c r="E74" s="29">
        <v>115610</v>
      </c>
      <c r="F74" s="29">
        <v>48108</v>
      </c>
      <c r="G74" s="29">
        <v>166684</v>
      </c>
      <c r="H74" s="30">
        <f t="shared" si="0"/>
        <v>0.69358786686184637</v>
      </c>
      <c r="I74" s="30">
        <f t="shared" si="1"/>
        <v>0.28861798372969211</v>
      </c>
      <c r="J74" s="28"/>
      <c r="K74" s="31"/>
      <c r="L74" s="31"/>
      <c r="M74" s="29"/>
      <c r="N74" s="30"/>
      <c r="O74" s="30"/>
    </row>
    <row r="75" spans="1:15" x14ac:dyDescent="0.2">
      <c r="A75" s="4" t="s">
        <v>152</v>
      </c>
      <c r="B75" s="4" t="s">
        <v>153</v>
      </c>
      <c r="C75" s="8" t="s">
        <v>23</v>
      </c>
      <c r="D75" s="25"/>
      <c r="E75" s="26">
        <v>163911</v>
      </c>
      <c r="F75" s="26">
        <v>143726</v>
      </c>
      <c r="G75" s="26">
        <v>314748</v>
      </c>
      <c r="H75" s="27">
        <f t="shared" si="0"/>
        <v>0.52076899614930039</v>
      </c>
      <c r="I75" s="27">
        <f t="shared" si="1"/>
        <v>0.45663832653424324</v>
      </c>
      <c r="J75" s="28"/>
      <c r="K75" s="32"/>
      <c r="L75" s="32"/>
      <c r="M75" s="26"/>
      <c r="N75" s="27"/>
      <c r="O75" s="27"/>
    </row>
    <row r="76" spans="1:15" x14ac:dyDescent="0.2">
      <c r="A76" s="4" t="s">
        <v>154</v>
      </c>
      <c r="B76" s="4" t="s">
        <v>155</v>
      </c>
      <c r="C76" s="8" t="s">
        <v>23</v>
      </c>
      <c r="D76" s="25"/>
      <c r="E76" s="29">
        <v>174616</v>
      </c>
      <c r="F76" s="29">
        <v>103513</v>
      </c>
      <c r="G76" s="29">
        <v>284333</v>
      </c>
      <c r="H76" s="30">
        <f t="shared" si="0"/>
        <v>0.61412498725086428</v>
      </c>
      <c r="I76" s="30">
        <f t="shared" si="1"/>
        <v>0.36405552644258671</v>
      </c>
      <c r="J76" s="28"/>
      <c r="K76" s="31"/>
      <c r="L76" s="31"/>
      <c r="M76" s="29"/>
      <c r="N76" s="30"/>
      <c r="O76" s="30"/>
    </row>
    <row r="77" spans="1:15" x14ac:dyDescent="0.2">
      <c r="A77" s="4" t="s">
        <v>156</v>
      </c>
      <c r="B77" s="4" t="s">
        <v>157</v>
      </c>
      <c r="C77" s="8" t="s">
        <v>23</v>
      </c>
      <c r="D77" s="25"/>
      <c r="E77" s="26">
        <v>254400</v>
      </c>
      <c r="F77" s="26">
        <v>106334</v>
      </c>
      <c r="G77" s="26">
        <v>368798</v>
      </c>
      <c r="H77" s="27">
        <f t="shared" si="0"/>
        <v>0.6898085130613506</v>
      </c>
      <c r="I77" s="27">
        <f t="shared" si="1"/>
        <v>0.28832585860010085</v>
      </c>
      <c r="J77" s="28"/>
      <c r="K77" s="26">
        <v>238267</v>
      </c>
      <c r="L77" s="26">
        <v>92818</v>
      </c>
      <c r="M77" s="26">
        <v>336293</v>
      </c>
      <c r="N77" s="27">
        <f t="shared" ref="N77:N331" si="4">K77/M77</f>
        <v>0.70851013848043221</v>
      </c>
      <c r="O77" s="27">
        <f t="shared" ref="O77:O331" si="5">L77/M77</f>
        <v>0.27600336611228898</v>
      </c>
    </row>
    <row r="78" spans="1:15" x14ac:dyDescent="0.2">
      <c r="A78" s="4" t="s">
        <v>158</v>
      </c>
      <c r="B78" s="4" t="s">
        <v>159</v>
      </c>
      <c r="C78" s="8" t="s">
        <v>23</v>
      </c>
      <c r="D78" s="25"/>
      <c r="E78" s="29">
        <v>255209</v>
      </c>
      <c r="F78" s="29">
        <v>174095</v>
      </c>
      <c r="G78" s="29">
        <v>440652</v>
      </c>
      <c r="H78" s="30">
        <f t="shared" si="0"/>
        <v>0.57916224140591666</v>
      </c>
      <c r="I78" s="30">
        <f t="shared" si="1"/>
        <v>0.39508501039368937</v>
      </c>
      <c r="J78" s="28"/>
      <c r="K78" s="29">
        <v>255063</v>
      </c>
      <c r="L78" s="29">
        <v>154884</v>
      </c>
      <c r="M78" s="29">
        <v>416822</v>
      </c>
      <c r="N78" s="30">
        <f t="shared" si="4"/>
        <v>0.61192307507761101</v>
      </c>
      <c r="O78" s="30">
        <f t="shared" si="5"/>
        <v>0.37158307383007616</v>
      </c>
    </row>
    <row r="79" spans="1:15" x14ac:dyDescent="0.2">
      <c r="A79" s="4" t="s">
        <v>160</v>
      </c>
      <c r="B79" s="4" t="s">
        <v>161</v>
      </c>
      <c r="C79" s="5" t="s">
        <v>8</v>
      </c>
      <c r="D79" s="25"/>
      <c r="E79" s="26">
        <v>163886</v>
      </c>
      <c r="F79" s="26">
        <v>185459</v>
      </c>
      <c r="G79" s="26">
        <v>358045</v>
      </c>
      <c r="H79" s="27">
        <f t="shared" si="0"/>
        <v>0.45772458769149127</v>
      </c>
      <c r="I79" s="27">
        <f t="shared" si="1"/>
        <v>0.51797679062687652</v>
      </c>
      <c r="J79" s="28"/>
      <c r="K79" s="26">
        <v>166259</v>
      </c>
      <c r="L79" s="26">
        <v>171205</v>
      </c>
      <c r="M79" s="26">
        <v>343167</v>
      </c>
      <c r="N79" s="27">
        <f t="shared" si="4"/>
        <v>0.48448423070982932</v>
      </c>
      <c r="O79" s="27">
        <f t="shared" si="5"/>
        <v>0.49889703846815109</v>
      </c>
    </row>
    <row r="80" spans="1:15" x14ac:dyDescent="0.2">
      <c r="A80" s="4" t="s">
        <v>162</v>
      </c>
      <c r="B80" s="4" t="s">
        <v>163</v>
      </c>
      <c r="C80" s="5" t="s">
        <v>8</v>
      </c>
      <c r="D80" s="25"/>
      <c r="E80" s="29">
        <v>140404</v>
      </c>
      <c r="F80" s="29">
        <v>209415</v>
      </c>
      <c r="G80" s="29">
        <v>357971</v>
      </c>
      <c r="H80" s="30">
        <f t="shared" si="0"/>
        <v>0.39222171628427999</v>
      </c>
      <c r="I80" s="30">
        <f t="shared" si="1"/>
        <v>0.58500548927147733</v>
      </c>
      <c r="J80" s="28"/>
      <c r="K80" s="29">
        <v>138609</v>
      </c>
      <c r="L80" s="29">
        <v>186271</v>
      </c>
      <c r="M80" s="29">
        <v>330465</v>
      </c>
      <c r="N80" s="30">
        <f t="shared" si="4"/>
        <v>0.41943624892197356</v>
      </c>
      <c r="O80" s="30">
        <f t="shared" si="5"/>
        <v>0.56366332289349852</v>
      </c>
    </row>
    <row r="81" spans="1:15" x14ac:dyDescent="0.2">
      <c r="A81" s="4" t="s">
        <v>164</v>
      </c>
      <c r="B81" s="4" t="s">
        <v>165</v>
      </c>
      <c r="C81" s="5" t="s">
        <v>8</v>
      </c>
      <c r="D81" s="25"/>
      <c r="E81" s="26">
        <v>129903</v>
      </c>
      <c r="F81" s="26">
        <v>200491</v>
      </c>
      <c r="G81" s="26">
        <v>339143</v>
      </c>
      <c r="H81" s="27">
        <f t="shared" si="0"/>
        <v>0.38303311582429833</v>
      </c>
      <c r="I81" s="27">
        <f t="shared" si="1"/>
        <v>0.59116950666827861</v>
      </c>
      <c r="J81" s="28"/>
      <c r="K81" s="26">
        <v>127252</v>
      </c>
      <c r="L81" s="26">
        <v>188389</v>
      </c>
      <c r="M81" s="26">
        <v>320557</v>
      </c>
      <c r="N81" s="27">
        <f t="shared" si="4"/>
        <v>0.39697152144548398</v>
      </c>
      <c r="O81" s="27">
        <f t="shared" si="5"/>
        <v>0.58769267244203061</v>
      </c>
    </row>
    <row r="82" spans="1:15" x14ac:dyDescent="0.2">
      <c r="A82" s="4" t="s">
        <v>166</v>
      </c>
      <c r="B82" s="4" t="s">
        <v>167</v>
      </c>
      <c r="C82" s="5" t="s">
        <v>8</v>
      </c>
      <c r="D82" s="25"/>
      <c r="E82" s="29">
        <v>183024</v>
      </c>
      <c r="F82" s="29">
        <v>165070</v>
      </c>
      <c r="G82" s="29">
        <v>354989</v>
      </c>
      <c r="H82" s="30">
        <f t="shared" si="0"/>
        <v>0.51557653899134903</v>
      </c>
      <c r="I82" s="30">
        <f t="shared" si="1"/>
        <v>0.4650003239537</v>
      </c>
      <c r="J82" s="28"/>
      <c r="K82" s="29">
        <v>175007</v>
      </c>
      <c r="L82" s="29">
        <v>146589</v>
      </c>
      <c r="M82" s="29">
        <v>326232</v>
      </c>
      <c r="N82" s="30">
        <f t="shared" si="4"/>
        <v>0.53644952058657647</v>
      </c>
      <c r="O82" s="30">
        <f t="shared" si="5"/>
        <v>0.44933973368645624</v>
      </c>
    </row>
    <row r="83" spans="1:15" x14ac:dyDescent="0.2">
      <c r="A83" s="4" t="s">
        <v>168</v>
      </c>
      <c r="B83" s="4" t="s">
        <v>169</v>
      </c>
      <c r="C83" s="8" t="s">
        <v>23</v>
      </c>
      <c r="D83" s="25"/>
      <c r="E83" s="26">
        <v>196276</v>
      </c>
      <c r="F83" s="26">
        <v>144379</v>
      </c>
      <c r="G83" s="26">
        <v>349920</v>
      </c>
      <c r="H83" s="27">
        <f t="shared" si="0"/>
        <v>0.56091678097850939</v>
      </c>
      <c r="I83" s="27">
        <f t="shared" si="1"/>
        <v>0.41260573845450388</v>
      </c>
      <c r="J83" s="28"/>
      <c r="K83" s="26">
        <v>187678</v>
      </c>
      <c r="L83" s="26">
        <v>133184</v>
      </c>
      <c r="M83" s="26">
        <v>327142</v>
      </c>
      <c r="N83" s="27">
        <f t="shared" si="4"/>
        <v>0.57368971272413816</v>
      </c>
      <c r="O83" s="27">
        <f t="shared" si="5"/>
        <v>0.40711373042898802</v>
      </c>
    </row>
    <row r="84" spans="1:15" x14ac:dyDescent="0.2">
      <c r="A84" s="4" t="s">
        <v>170</v>
      </c>
      <c r="B84" s="4" t="s">
        <v>171</v>
      </c>
      <c r="C84" s="8" t="s">
        <v>23</v>
      </c>
      <c r="D84" s="25"/>
      <c r="E84" s="29">
        <v>200960</v>
      </c>
      <c r="F84" s="29">
        <v>112982</v>
      </c>
      <c r="G84" s="29">
        <v>317496</v>
      </c>
      <c r="H84" s="30">
        <f t="shared" si="0"/>
        <v>0.63295285609897445</v>
      </c>
      <c r="I84" s="30">
        <f t="shared" si="1"/>
        <v>0.35585330208884519</v>
      </c>
      <c r="J84" s="28"/>
      <c r="K84" s="29">
        <v>220181</v>
      </c>
      <c r="L84" s="29">
        <v>110296</v>
      </c>
      <c r="M84" s="29">
        <v>334807</v>
      </c>
      <c r="N84" s="30">
        <f t="shared" si="4"/>
        <v>0.65763559304315622</v>
      </c>
      <c r="O84" s="30">
        <f t="shared" si="5"/>
        <v>0.32943158297168218</v>
      </c>
    </row>
    <row r="85" spans="1:15" x14ac:dyDescent="0.2">
      <c r="A85" s="4" t="s">
        <v>172</v>
      </c>
      <c r="B85" s="4" t="s">
        <v>173</v>
      </c>
      <c r="C85" s="8" t="s">
        <v>23</v>
      </c>
      <c r="D85" s="25"/>
      <c r="E85" s="26">
        <v>177544</v>
      </c>
      <c r="F85" s="26">
        <v>135235</v>
      </c>
      <c r="G85" s="26">
        <v>317687</v>
      </c>
      <c r="H85" s="27">
        <f t="shared" si="0"/>
        <v>0.55886454277323272</v>
      </c>
      <c r="I85" s="27">
        <f t="shared" si="1"/>
        <v>0.42568628870554981</v>
      </c>
      <c r="J85" s="28"/>
      <c r="K85" s="26">
        <v>199414</v>
      </c>
      <c r="L85" s="26">
        <v>136155</v>
      </c>
      <c r="M85" s="26">
        <v>340366</v>
      </c>
      <c r="N85" s="27">
        <f t="shared" si="4"/>
        <v>0.5858810809540318</v>
      </c>
      <c r="O85" s="27">
        <f t="shared" si="5"/>
        <v>0.40002526691855239</v>
      </c>
    </row>
    <row r="86" spans="1:15" x14ac:dyDescent="0.2">
      <c r="A86" s="4" t="s">
        <v>174</v>
      </c>
      <c r="B86" s="4" t="s">
        <v>175</v>
      </c>
      <c r="C86" s="8" t="s">
        <v>23</v>
      </c>
      <c r="D86" s="25"/>
      <c r="E86" s="29">
        <v>191296</v>
      </c>
      <c r="F86" s="29">
        <v>110912</v>
      </c>
      <c r="G86" s="29">
        <v>305600</v>
      </c>
      <c r="H86" s="30">
        <f t="shared" si="0"/>
        <v>0.62596858638743458</v>
      </c>
      <c r="I86" s="30">
        <f t="shared" si="1"/>
        <v>0.36293193717277489</v>
      </c>
      <c r="J86" s="28"/>
      <c r="K86" s="29">
        <v>203090</v>
      </c>
      <c r="L86" s="29">
        <v>117258</v>
      </c>
      <c r="M86" s="29">
        <v>324233</v>
      </c>
      <c r="N86" s="30">
        <f t="shared" si="4"/>
        <v>0.62637054217183319</v>
      </c>
      <c r="O86" s="30">
        <f t="shared" si="5"/>
        <v>0.3616473338617599</v>
      </c>
    </row>
    <row r="87" spans="1:15" x14ac:dyDescent="0.2">
      <c r="A87" s="4" t="s">
        <v>176</v>
      </c>
      <c r="B87" s="4" t="s">
        <v>177</v>
      </c>
      <c r="C87" s="8" t="s">
        <v>23</v>
      </c>
      <c r="D87" s="25"/>
      <c r="E87" s="26">
        <v>170884</v>
      </c>
      <c r="F87" s="26">
        <v>136600</v>
      </c>
      <c r="G87" s="26">
        <v>310284</v>
      </c>
      <c r="H87" s="27">
        <f t="shared" si="0"/>
        <v>0.55073416611878145</v>
      </c>
      <c r="I87" s="27">
        <f t="shared" si="1"/>
        <v>0.4402418429567751</v>
      </c>
      <c r="J87" s="28"/>
      <c r="K87" s="26">
        <v>192941</v>
      </c>
      <c r="L87" s="26">
        <v>128653</v>
      </c>
      <c r="M87" s="26">
        <v>323755</v>
      </c>
      <c r="N87" s="27">
        <f t="shared" si="4"/>
        <v>0.5959475529335454</v>
      </c>
      <c r="O87" s="27">
        <f t="shared" si="5"/>
        <v>0.39737764667727138</v>
      </c>
    </row>
    <row r="88" spans="1:15" x14ac:dyDescent="0.2">
      <c r="A88" s="4" t="s">
        <v>178</v>
      </c>
      <c r="B88" s="4" t="s">
        <v>179</v>
      </c>
      <c r="C88" s="8" t="s">
        <v>23</v>
      </c>
      <c r="D88" s="25"/>
      <c r="E88" s="29">
        <v>164621</v>
      </c>
      <c r="F88" s="29">
        <v>139347</v>
      </c>
      <c r="G88" s="29">
        <v>307553</v>
      </c>
      <c r="H88" s="30">
        <f t="shared" si="0"/>
        <v>0.53526058923177466</v>
      </c>
      <c r="I88" s="30">
        <f t="shared" si="1"/>
        <v>0.45308288327540291</v>
      </c>
      <c r="J88" s="28"/>
      <c r="K88" s="29">
        <v>182147</v>
      </c>
      <c r="L88" s="29">
        <v>137066</v>
      </c>
      <c r="M88" s="29">
        <v>323202</v>
      </c>
      <c r="N88" s="30">
        <f t="shared" si="4"/>
        <v>0.56357015117480713</v>
      </c>
      <c r="O88" s="30">
        <f t="shared" si="5"/>
        <v>0.42408772222944163</v>
      </c>
    </row>
    <row r="89" spans="1:15" x14ac:dyDescent="0.2">
      <c r="A89" s="4" t="s">
        <v>180</v>
      </c>
      <c r="B89" s="4" t="s">
        <v>181</v>
      </c>
      <c r="C89" s="8" t="s">
        <v>23</v>
      </c>
      <c r="D89" s="25"/>
      <c r="E89" s="26">
        <v>242584</v>
      </c>
      <c r="F89" s="26">
        <v>165484</v>
      </c>
      <c r="G89" s="26">
        <v>413890</v>
      </c>
      <c r="H89" s="27">
        <f t="shared" si="0"/>
        <v>0.5861074198458528</v>
      </c>
      <c r="I89" s="27">
        <f t="shared" si="1"/>
        <v>0.39982604073546113</v>
      </c>
      <c r="J89" s="28"/>
      <c r="K89" s="26">
        <v>255459</v>
      </c>
      <c r="L89" s="26">
        <v>152374</v>
      </c>
      <c r="M89" s="26">
        <v>412412</v>
      </c>
      <c r="N89" s="27">
        <f t="shared" si="4"/>
        <v>0.61942668981503934</v>
      </c>
      <c r="O89" s="27">
        <f t="shared" si="5"/>
        <v>0.36947033548975294</v>
      </c>
    </row>
    <row r="90" spans="1:15" x14ac:dyDescent="0.2">
      <c r="A90" s="4" t="s">
        <v>182</v>
      </c>
      <c r="B90" s="4" t="s">
        <v>183</v>
      </c>
      <c r="C90" s="5" t="s">
        <v>8</v>
      </c>
      <c r="D90" s="25"/>
      <c r="E90" s="31">
        <v>106814</v>
      </c>
      <c r="F90" s="31">
        <v>242972</v>
      </c>
      <c r="G90" s="29">
        <v>353882</v>
      </c>
      <c r="H90" s="30">
        <f t="shared" si="0"/>
        <v>0.30183507496849232</v>
      </c>
      <c r="I90" s="30">
        <f t="shared" si="1"/>
        <v>0.68659044540270486</v>
      </c>
      <c r="J90" s="28"/>
      <c r="K90" s="31">
        <v>114934</v>
      </c>
      <c r="L90" s="31">
        <v>240062</v>
      </c>
      <c r="M90" s="29">
        <v>359439</v>
      </c>
      <c r="N90" s="30">
        <f t="shared" si="4"/>
        <v>0.31975940284721471</v>
      </c>
      <c r="O90" s="30">
        <f t="shared" si="5"/>
        <v>0.6678796680382485</v>
      </c>
    </row>
    <row r="91" spans="1:15" x14ac:dyDescent="0.2">
      <c r="A91" s="4" t="s">
        <v>184</v>
      </c>
      <c r="B91" s="4" t="s">
        <v>185</v>
      </c>
      <c r="C91" s="8" t="s">
        <v>23</v>
      </c>
      <c r="D91" s="25"/>
      <c r="E91" s="32">
        <v>158751</v>
      </c>
      <c r="F91" s="32">
        <v>178780</v>
      </c>
      <c r="G91" s="26">
        <v>341283</v>
      </c>
      <c r="H91" s="27">
        <f t="shared" si="0"/>
        <v>0.4651594131556509</v>
      </c>
      <c r="I91" s="27">
        <f t="shared" si="1"/>
        <v>0.52384677818701786</v>
      </c>
      <c r="J91" s="28"/>
      <c r="K91" s="32">
        <v>162376</v>
      </c>
      <c r="L91" s="32">
        <v>179544</v>
      </c>
      <c r="M91" s="26">
        <v>345724</v>
      </c>
      <c r="N91" s="27">
        <f t="shared" si="4"/>
        <v>0.46966944730478649</v>
      </c>
      <c r="O91" s="27">
        <f t="shared" si="5"/>
        <v>0.51932755608520087</v>
      </c>
    </row>
    <row r="92" spans="1:15" x14ac:dyDescent="0.2">
      <c r="A92" s="4" t="s">
        <v>186</v>
      </c>
      <c r="B92" s="4" t="s">
        <v>187</v>
      </c>
      <c r="C92" s="5" t="s">
        <v>8</v>
      </c>
      <c r="D92" s="25"/>
      <c r="E92" s="31">
        <v>122708</v>
      </c>
      <c r="F92" s="31">
        <v>202003</v>
      </c>
      <c r="G92" s="29">
        <v>328512</v>
      </c>
      <c r="H92" s="30">
        <f t="shared" si="0"/>
        <v>0.3735266900448081</v>
      </c>
      <c r="I92" s="30">
        <f t="shared" si="1"/>
        <v>0.61490295636080261</v>
      </c>
      <c r="J92" s="28"/>
      <c r="K92" s="31">
        <v>131054</v>
      </c>
      <c r="L92" s="31">
        <v>196377</v>
      </c>
      <c r="M92" s="29">
        <v>331924</v>
      </c>
      <c r="N92" s="30">
        <f t="shared" si="4"/>
        <v>0.39483134693484051</v>
      </c>
      <c r="O92" s="30">
        <f t="shared" si="5"/>
        <v>0.59163242187970744</v>
      </c>
    </row>
    <row r="93" spans="1:15" x14ac:dyDescent="0.2">
      <c r="A93" s="4" t="s">
        <v>188</v>
      </c>
      <c r="B93" s="4" t="s">
        <v>189</v>
      </c>
      <c r="C93" s="5" t="s">
        <v>8</v>
      </c>
      <c r="D93" s="25"/>
      <c r="E93" s="32">
        <v>123938</v>
      </c>
      <c r="F93" s="32">
        <v>222443</v>
      </c>
      <c r="G93" s="26">
        <v>349660</v>
      </c>
      <c r="H93" s="27">
        <f t="shared" si="0"/>
        <v>0.35445289710004002</v>
      </c>
      <c r="I93" s="27">
        <f t="shared" si="1"/>
        <v>0.6361694217239604</v>
      </c>
      <c r="J93" s="28"/>
      <c r="K93" s="32">
        <v>126926</v>
      </c>
      <c r="L93" s="32">
        <v>217160</v>
      </c>
      <c r="M93" s="26">
        <v>347461</v>
      </c>
      <c r="N93" s="27">
        <f t="shared" si="4"/>
        <v>0.36529567347126729</v>
      </c>
      <c r="O93" s="27">
        <f t="shared" si="5"/>
        <v>0.6249910061848668</v>
      </c>
    </row>
    <row r="94" spans="1:15" x14ac:dyDescent="0.2">
      <c r="A94" s="4" t="s">
        <v>190</v>
      </c>
      <c r="B94" s="4" t="s">
        <v>191</v>
      </c>
      <c r="C94" s="8" t="s">
        <v>23</v>
      </c>
      <c r="D94" s="25"/>
      <c r="E94" s="31">
        <v>196608</v>
      </c>
      <c r="F94" s="31">
        <v>77414</v>
      </c>
      <c r="G94" s="29">
        <v>276025</v>
      </c>
      <c r="H94" s="30">
        <f t="shared" si="0"/>
        <v>0.71228330767140657</v>
      </c>
      <c r="I94" s="30">
        <f t="shared" si="1"/>
        <v>0.28046010325151705</v>
      </c>
      <c r="J94" s="28"/>
      <c r="K94" s="31">
        <v>200601</v>
      </c>
      <c r="L94" s="31">
        <v>81903</v>
      </c>
      <c r="M94" s="29">
        <v>284654</v>
      </c>
      <c r="N94" s="30">
        <f t="shared" si="4"/>
        <v>0.70471871113702955</v>
      </c>
      <c r="O94" s="30">
        <f t="shared" si="5"/>
        <v>0.28772825957126896</v>
      </c>
    </row>
    <row r="95" spans="1:15" x14ac:dyDescent="0.2">
      <c r="A95" s="4" t="s">
        <v>192</v>
      </c>
      <c r="B95" s="4" t="s">
        <v>193</v>
      </c>
      <c r="C95" s="5" t="s">
        <v>8</v>
      </c>
      <c r="D95" s="25"/>
      <c r="E95" s="32">
        <v>149955</v>
      </c>
      <c r="F95" s="32">
        <v>209150</v>
      </c>
      <c r="G95" s="26">
        <v>362481</v>
      </c>
      <c r="H95" s="27">
        <f t="shared" si="0"/>
        <v>0.41369064861330662</v>
      </c>
      <c r="I95" s="27">
        <f t="shared" si="1"/>
        <v>0.57699575977775386</v>
      </c>
      <c r="J95" s="28"/>
      <c r="K95" s="32">
        <v>164545</v>
      </c>
      <c r="L95" s="32">
        <v>193615</v>
      </c>
      <c r="M95" s="26">
        <v>362480</v>
      </c>
      <c r="N95" s="27">
        <f t="shared" si="4"/>
        <v>0.45394228647097773</v>
      </c>
      <c r="O95" s="27">
        <f t="shared" si="5"/>
        <v>0.53413981461046123</v>
      </c>
    </row>
    <row r="96" spans="1:15" x14ac:dyDescent="0.2">
      <c r="A96" s="4" t="s">
        <v>194</v>
      </c>
      <c r="B96" s="4" t="s">
        <v>195</v>
      </c>
      <c r="C96" s="5" t="s">
        <v>8</v>
      </c>
      <c r="D96" s="25"/>
      <c r="E96" s="31">
        <v>156382</v>
      </c>
      <c r="F96" s="31">
        <v>172042</v>
      </c>
      <c r="G96" s="29">
        <v>332061</v>
      </c>
      <c r="H96" s="30">
        <f t="shared" si="0"/>
        <v>0.47094359168947875</v>
      </c>
      <c r="I96" s="30">
        <f t="shared" si="1"/>
        <v>0.51810360144672218</v>
      </c>
      <c r="J96" s="28"/>
      <c r="K96" s="31">
        <v>163106</v>
      </c>
      <c r="L96" s="31">
        <v>165848</v>
      </c>
      <c r="M96" s="29">
        <v>332170</v>
      </c>
      <c r="N96" s="30">
        <f t="shared" si="4"/>
        <v>0.49103170063521689</v>
      </c>
      <c r="O96" s="30">
        <f t="shared" si="5"/>
        <v>0.49928650991961948</v>
      </c>
    </row>
    <row r="97" spans="1:15" x14ac:dyDescent="0.2">
      <c r="A97" s="4" t="s">
        <v>196</v>
      </c>
      <c r="B97" s="4" t="s">
        <v>197</v>
      </c>
      <c r="C97" s="5" t="s">
        <v>8</v>
      </c>
      <c r="D97" s="25"/>
      <c r="E97" s="32">
        <v>153138</v>
      </c>
      <c r="F97" s="32">
        <v>206074</v>
      </c>
      <c r="G97" s="26">
        <v>363051</v>
      </c>
      <c r="H97" s="27">
        <f t="shared" si="0"/>
        <v>0.42180850624292454</v>
      </c>
      <c r="I97" s="27">
        <f t="shared" si="1"/>
        <v>0.56761722182282925</v>
      </c>
      <c r="J97" s="28"/>
      <c r="K97" s="32">
        <v>160787</v>
      </c>
      <c r="L97" s="32">
        <v>201287</v>
      </c>
      <c r="M97" s="26">
        <v>366753</v>
      </c>
      <c r="N97" s="27">
        <f t="shared" si="4"/>
        <v>0.43840677513203707</v>
      </c>
      <c r="O97" s="27">
        <f t="shared" si="5"/>
        <v>0.54883531968381993</v>
      </c>
    </row>
    <row r="98" spans="1:15" x14ac:dyDescent="0.2">
      <c r="A98" s="4" t="s">
        <v>198</v>
      </c>
      <c r="B98" s="4" t="s">
        <v>199</v>
      </c>
      <c r="C98" s="8" t="s">
        <v>23</v>
      </c>
      <c r="D98" s="25"/>
      <c r="E98" s="31">
        <v>170093</v>
      </c>
      <c r="F98" s="31">
        <v>102173</v>
      </c>
      <c r="G98" s="29">
        <v>274613</v>
      </c>
      <c r="H98" s="30">
        <f t="shared" si="0"/>
        <v>0.61939165298074017</v>
      </c>
      <c r="I98" s="30">
        <f t="shared" si="1"/>
        <v>0.37206177420588243</v>
      </c>
      <c r="J98" s="28"/>
      <c r="K98" s="31">
        <v>157249</v>
      </c>
      <c r="L98" s="31">
        <v>102036</v>
      </c>
      <c r="M98" s="29">
        <v>261405</v>
      </c>
      <c r="N98" s="30">
        <f t="shared" si="4"/>
        <v>0.60155314550219008</v>
      </c>
      <c r="O98" s="30">
        <f t="shared" si="5"/>
        <v>0.39033683364893557</v>
      </c>
    </row>
    <row r="99" spans="1:15" x14ac:dyDescent="0.2">
      <c r="A99" s="4" t="s">
        <v>200</v>
      </c>
      <c r="B99" s="4" t="s">
        <v>201</v>
      </c>
      <c r="C99" s="5" t="s">
        <v>8</v>
      </c>
      <c r="D99" s="25"/>
      <c r="E99" s="32">
        <v>149532</v>
      </c>
      <c r="F99" s="32">
        <v>174484</v>
      </c>
      <c r="G99" s="26">
        <v>327037</v>
      </c>
      <c r="H99" s="27">
        <f t="shared" si="0"/>
        <v>0.45723266786326927</v>
      </c>
      <c r="I99" s="27">
        <f t="shared" si="1"/>
        <v>0.53352984524686808</v>
      </c>
      <c r="J99" s="28"/>
      <c r="K99" s="32">
        <v>149038</v>
      </c>
      <c r="L99" s="32">
        <v>164233</v>
      </c>
      <c r="M99" s="26">
        <v>315942</v>
      </c>
      <c r="N99" s="27">
        <f t="shared" si="4"/>
        <v>0.47172582309411221</v>
      </c>
      <c r="O99" s="27">
        <f t="shared" si="5"/>
        <v>0.51982009356147652</v>
      </c>
    </row>
    <row r="100" spans="1:15" x14ac:dyDescent="0.2">
      <c r="A100" s="4" t="s">
        <v>202</v>
      </c>
      <c r="B100" s="4" t="s">
        <v>203</v>
      </c>
      <c r="C100" s="5" t="s">
        <v>8</v>
      </c>
      <c r="D100" s="25"/>
      <c r="E100" s="31">
        <v>143380</v>
      </c>
      <c r="F100" s="31">
        <v>209720</v>
      </c>
      <c r="G100" s="29">
        <v>356382</v>
      </c>
      <c r="H100" s="30">
        <f t="shared" si="0"/>
        <v>0.40232110488184025</v>
      </c>
      <c r="I100" s="30">
        <f t="shared" si="1"/>
        <v>0.58846967579731857</v>
      </c>
      <c r="J100" s="28"/>
      <c r="K100" s="31">
        <v>151906</v>
      </c>
      <c r="L100" s="31">
        <v>196790</v>
      </c>
      <c r="M100" s="29">
        <v>353215</v>
      </c>
      <c r="N100" s="30">
        <f t="shared" si="4"/>
        <v>0.43006667327265263</v>
      </c>
      <c r="O100" s="30">
        <f t="shared" si="5"/>
        <v>0.55713941933383349</v>
      </c>
    </row>
    <row r="101" spans="1:15" x14ac:dyDescent="0.2">
      <c r="A101" s="4" t="s">
        <v>204</v>
      </c>
      <c r="B101" s="4" t="s">
        <v>205</v>
      </c>
      <c r="C101" s="5" t="s">
        <v>8</v>
      </c>
      <c r="D101" s="25"/>
      <c r="E101" s="32">
        <v>153386</v>
      </c>
      <c r="F101" s="32">
        <v>185157</v>
      </c>
      <c r="G101" s="26">
        <v>342626</v>
      </c>
      <c r="H101" s="27">
        <f t="shared" si="0"/>
        <v>0.44767764267743837</v>
      </c>
      <c r="I101" s="27">
        <f t="shared" si="1"/>
        <v>0.54040557342408335</v>
      </c>
      <c r="J101" s="28"/>
      <c r="K101" s="32">
        <v>159963</v>
      </c>
      <c r="L101" s="32">
        <v>178700</v>
      </c>
      <c r="M101" s="26">
        <v>343118</v>
      </c>
      <c r="N101" s="27">
        <f t="shared" si="4"/>
        <v>0.46620404642134777</v>
      </c>
      <c r="O101" s="27">
        <f t="shared" si="5"/>
        <v>0.52081208214083785</v>
      </c>
    </row>
    <row r="102" spans="1:15" x14ac:dyDescent="0.2">
      <c r="A102" s="4" t="s">
        <v>206</v>
      </c>
      <c r="B102" s="4" t="s">
        <v>207</v>
      </c>
      <c r="C102" s="5" t="s">
        <v>8</v>
      </c>
      <c r="D102" s="25"/>
      <c r="E102" s="31">
        <v>171102</v>
      </c>
      <c r="F102" s="31">
        <v>166087</v>
      </c>
      <c r="G102" s="29">
        <v>341397</v>
      </c>
      <c r="H102" s="30">
        <f t="shared" si="0"/>
        <v>0.50118190845262256</v>
      </c>
      <c r="I102" s="30">
        <f t="shared" si="1"/>
        <v>0.48649226560280262</v>
      </c>
      <c r="J102" s="28"/>
      <c r="K102" s="31">
        <v>176429</v>
      </c>
      <c r="L102" s="31">
        <v>163342</v>
      </c>
      <c r="M102" s="29">
        <v>345146</v>
      </c>
      <c r="N102" s="30">
        <f t="shared" si="4"/>
        <v>0.51117208369791334</v>
      </c>
      <c r="O102" s="30">
        <f t="shared" si="5"/>
        <v>0.47325479652089258</v>
      </c>
    </row>
    <row r="103" spans="1:15" x14ac:dyDescent="0.2">
      <c r="A103" s="4" t="s">
        <v>208</v>
      </c>
      <c r="B103" s="4" t="s">
        <v>209</v>
      </c>
      <c r="C103" s="8" t="s">
        <v>23</v>
      </c>
      <c r="D103" s="25"/>
      <c r="E103" s="32">
        <v>191255</v>
      </c>
      <c r="F103" s="32">
        <v>99834</v>
      </c>
      <c r="G103" s="26">
        <v>293992</v>
      </c>
      <c r="H103" s="27">
        <f t="shared" si="0"/>
        <v>0.65054491278674254</v>
      </c>
      <c r="I103" s="27">
        <f t="shared" si="1"/>
        <v>0.33958066886173771</v>
      </c>
      <c r="J103" s="28"/>
      <c r="K103" s="32">
        <v>183249</v>
      </c>
      <c r="L103" s="32">
        <v>95695</v>
      </c>
      <c r="M103" s="26">
        <v>281789</v>
      </c>
      <c r="N103" s="27">
        <f t="shared" si="4"/>
        <v>0.65030572520573904</v>
      </c>
      <c r="O103" s="27">
        <f t="shared" si="5"/>
        <v>0.33959806805801501</v>
      </c>
    </row>
    <row r="104" spans="1:15" x14ac:dyDescent="0.2">
      <c r="A104" s="4" t="s">
        <v>210</v>
      </c>
      <c r="B104" s="4" t="s">
        <v>211</v>
      </c>
      <c r="C104" s="5" t="s">
        <v>8</v>
      </c>
      <c r="D104" s="25"/>
      <c r="E104" s="31">
        <v>138145</v>
      </c>
      <c r="F104" s="31">
        <v>161622</v>
      </c>
      <c r="G104" s="29">
        <v>303053</v>
      </c>
      <c r="H104" s="30">
        <f t="shared" si="0"/>
        <v>0.45584435725764139</v>
      </c>
      <c r="I104" s="30">
        <f t="shared" si="1"/>
        <v>0.5333126548821493</v>
      </c>
      <c r="J104" s="28"/>
      <c r="K104" s="31">
        <v>137852</v>
      </c>
      <c r="L104" s="31">
        <v>158983</v>
      </c>
      <c r="M104" s="29">
        <v>300279</v>
      </c>
      <c r="N104" s="30">
        <f t="shared" si="4"/>
        <v>0.45907972252471868</v>
      </c>
      <c r="O104" s="30">
        <f t="shared" si="5"/>
        <v>0.52945094395545478</v>
      </c>
    </row>
    <row r="105" spans="1:15" x14ac:dyDescent="0.2">
      <c r="A105" s="4" t="s">
        <v>212</v>
      </c>
      <c r="B105" s="4" t="s">
        <v>213</v>
      </c>
      <c r="C105" s="5" t="s">
        <v>8</v>
      </c>
      <c r="D105" s="25"/>
      <c r="E105" s="32">
        <v>161079</v>
      </c>
      <c r="F105" s="32">
        <v>194525</v>
      </c>
      <c r="G105" s="26">
        <v>358795</v>
      </c>
      <c r="H105" s="27">
        <f t="shared" si="0"/>
        <v>0.44894438328293312</v>
      </c>
      <c r="I105" s="27">
        <f t="shared" si="1"/>
        <v>0.54216195877868978</v>
      </c>
      <c r="J105" s="28"/>
      <c r="K105" s="32">
        <v>171359</v>
      </c>
      <c r="L105" s="32">
        <v>180935</v>
      </c>
      <c r="M105" s="26">
        <v>356383</v>
      </c>
      <c r="N105" s="27">
        <f t="shared" si="4"/>
        <v>0.48082821009980836</v>
      </c>
      <c r="O105" s="27">
        <f t="shared" si="5"/>
        <v>0.50769817864488487</v>
      </c>
    </row>
    <row r="106" spans="1:15" x14ac:dyDescent="0.2">
      <c r="A106" s="4" t="s">
        <v>214</v>
      </c>
      <c r="B106" s="4" t="s">
        <v>215</v>
      </c>
      <c r="C106" s="5" t="s">
        <v>8</v>
      </c>
      <c r="D106" s="25"/>
      <c r="E106" s="31">
        <v>122440</v>
      </c>
      <c r="F106" s="31">
        <v>172038</v>
      </c>
      <c r="G106" s="29">
        <v>297209</v>
      </c>
      <c r="H106" s="30">
        <f t="shared" si="0"/>
        <v>0.41196599026274439</v>
      </c>
      <c r="I106" s="30">
        <f t="shared" si="1"/>
        <v>0.57884518974862809</v>
      </c>
      <c r="J106" s="28"/>
      <c r="K106" s="31">
        <v>127254</v>
      </c>
      <c r="L106" s="31">
        <v>164927</v>
      </c>
      <c r="M106" s="29">
        <v>296000</v>
      </c>
      <c r="N106" s="30">
        <f t="shared" si="4"/>
        <v>0.42991216216216216</v>
      </c>
      <c r="O106" s="30">
        <f t="shared" si="5"/>
        <v>0.55718581081081076</v>
      </c>
    </row>
    <row r="107" spans="1:15" x14ac:dyDescent="0.2">
      <c r="A107" s="4" t="s">
        <v>216</v>
      </c>
      <c r="B107" s="10" t="s">
        <v>217</v>
      </c>
      <c r="C107" s="12" t="s">
        <v>23</v>
      </c>
      <c r="D107" s="25"/>
      <c r="E107" s="32">
        <v>163067</v>
      </c>
      <c r="F107" s="32">
        <v>177320</v>
      </c>
      <c r="G107" s="26">
        <v>342845</v>
      </c>
      <c r="H107" s="27">
        <f t="shared" si="0"/>
        <v>0.47562892852455191</v>
      </c>
      <c r="I107" s="27">
        <f t="shared" si="1"/>
        <v>0.51720165089180237</v>
      </c>
      <c r="J107" s="28"/>
      <c r="K107" s="32">
        <v>172943</v>
      </c>
      <c r="L107" s="32">
        <v>162776</v>
      </c>
      <c r="M107" s="26">
        <v>338787</v>
      </c>
      <c r="N107" s="27">
        <f t="shared" si="4"/>
        <v>0.51047708442177531</v>
      </c>
      <c r="O107" s="27">
        <f t="shared" si="5"/>
        <v>0.48046707813463918</v>
      </c>
    </row>
    <row r="108" spans="1:15" x14ac:dyDescent="0.2">
      <c r="A108" s="4" t="s">
        <v>218</v>
      </c>
      <c r="B108" s="4" t="s">
        <v>219</v>
      </c>
      <c r="C108" s="5" t="s">
        <v>8</v>
      </c>
      <c r="D108" s="25"/>
      <c r="E108" s="31">
        <v>124296</v>
      </c>
      <c r="F108" s="31">
        <v>194306</v>
      </c>
      <c r="G108" s="29">
        <v>320681</v>
      </c>
      <c r="H108" s="30">
        <f t="shared" si="0"/>
        <v>0.38760013845534969</v>
      </c>
      <c r="I108" s="30">
        <f t="shared" si="1"/>
        <v>0.60591678334544297</v>
      </c>
      <c r="J108" s="28"/>
      <c r="K108" s="31">
        <v>135937</v>
      </c>
      <c r="L108" s="31">
        <v>182403</v>
      </c>
      <c r="M108" s="29">
        <v>321165</v>
      </c>
      <c r="N108" s="30">
        <f t="shared" si="4"/>
        <v>0.42326218610371613</v>
      </c>
      <c r="O108" s="30">
        <f t="shared" si="5"/>
        <v>0.56794171220400724</v>
      </c>
    </row>
    <row r="109" spans="1:15" x14ac:dyDescent="0.2">
      <c r="A109" s="4" t="s">
        <v>220</v>
      </c>
      <c r="B109" s="4" t="s">
        <v>221</v>
      </c>
      <c r="C109" s="8" t="s">
        <v>23</v>
      </c>
      <c r="D109" s="25"/>
      <c r="E109" s="32">
        <v>216641</v>
      </c>
      <c r="F109" s="32">
        <v>44526</v>
      </c>
      <c r="G109" s="26">
        <v>262252</v>
      </c>
      <c r="H109" s="27">
        <f t="shared" si="0"/>
        <v>0.82607949605722741</v>
      </c>
      <c r="I109" s="27">
        <f t="shared" si="1"/>
        <v>0.1697832619007672</v>
      </c>
      <c r="J109" s="28"/>
      <c r="K109" s="32">
        <v>204791</v>
      </c>
      <c r="L109" s="32">
        <v>48508</v>
      </c>
      <c r="M109" s="26">
        <v>254703</v>
      </c>
      <c r="N109" s="27">
        <f t="shared" si="4"/>
        <v>0.80403842907229206</v>
      </c>
      <c r="O109" s="27">
        <f t="shared" si="5"/>
        <v>0.190449268363545</v>
      </c>
    </row>
    <row r="110" spans="1:15" x14ac:dyDescent="0.2">
      <c r="A110" s="4" t="s">
        <v>222</v>
      </c>
      <c r="B110" s="4" t="s">
        <v>223</v>
      </c>
      <c r="C110" s="8" t="s">
        <v>23</v>
      </c>
      <c r="D110" s="25"/>
      <c r="E110" s="31">
        <v>196227</v>
      </c>
      <c r="F110" s="31">
        <v>125822</v>
      </c>
      <c r="G110" s="29">
        <v>323843</v>
      </c>
      <c r="H110" s="30">
        <f t="shared" si="0"/>
        <v>0.60593250433080226</v>
      </c>
      <c r="I110" s="30">
        <f t="shared" si="1"/>
        <v>0.3885277742609845</v>
      </c>
      <c r="J110" s="28"/>
      <c r="K110" s="31">
        <v>203177</v>
      </c>
      <c r="L110" s="31">
        <v>114765</v>
      </c>
      <c r="M110" s="29">
        <v>319953</v>
      </c>
      <c r="N110" s="30">
        <f t="shared" si="4"/>
        <v>0.63502139376720956</v>
      </c>
      <c r="O110" s="30">
        <f t="shared" si="5"/>
        <v>0.35869330807962418</v>
      </c>
    </row>
    <row r="111" spans="1:15" x14ac:dyDescent="0.2">
      <c r="A111" s="4" t="s">
        <v>224</v>
      </c>
      <c r="B111" s="4" t="s">
        <v>225</v>
      </c>
      <c r="C111" s="8" t="s">
        <v>23</v>
      </c>
      <c r="D111" s="25"/>
      <c r="E111" s="32">
        <v>178229</v>
      </c>
      <c r="F111" s="32">
        <v>147262</v>
      </c>
      <c r="G111" s="26">
        <v>327763</v>
      </c>
      <c r="H111" s="27">
        <f t="shared" si="0"/>
        <v>0.54377400743830151</v>
      </c>
      <c r="I111" s="27">
        <f t="shared" si="1"/>
        <v>0.44929415461781835</v>
      </c>
      <c r="J111" s="28"/>
      <c r="K111" s="32">
        <v>183173</v>
      </c>
      <c r="L111" s="32">
        <v>137458</v>
      </c>
      <c r="M111" s="26">
        <v>323214</v>
      </c>
      <c r="N111" s="27">
        <f t="shared" si="4"/>
        <v>0.56672359489378554</v>
      </c>
      <c r="O111" s="27">
        <f t="shared" si="5"/>
        <v>0.42528479583186374</v>
      </c>
    </row>
    <row r="112" spans="1:15" x14ac:dyDescent="0.2">
      <c r="A112" s="4" t="s">
        <v>226</v>
      </c>
      <c r="B112" s="4" t="s">
        <v>227</v>
      </c>
      <c r="C112" s="8" t="s">
        <v>23</v>
      </c>
      <c r="D112" s="25"/>
      <c r="E112" s="31">
        <v>176266</v>
      </c>
      <c r="F112" s="31">
        <v>108696</v>
      </c>
      <c r="G112" s="29">
        <v>286662</v>
      </c>
      <c r="H112" s="30">
        <f t="shared" si="0"/>
        <v>0.61489140520892205</v>
      </c>
      <c r="I112" s="30">
        <f t="shared" si="1"/>
        <v>0.3791782656926973</v>
      </c>
      <c r="J112" s="28"/>
      <c r="K112" s="31">
        <v>173355</v>
      </c>
      <c r="L112" s="31">
        <v>105237</v>
      </c>
      <c r="M112" s="29">
        <v>280666</v>
      </c>
      <c r="N112" s="30">
        <f t="shared" si="4"/>
        <v>0.61765586141534778</v>
      </c>
      <c r="O112" s="30">
        <f t="shared" si="5"/>
        <v>0.37495457233865165</v>
      </c>
    </row>
    <row r="113" spans="1:15" x14ac:dyDescent="0.2">
      <c r="A113" s="4" t="s">
        <v>228</v>
      </c>
      <c r="B113" s="4" t="s">
        <v>229</v>
      </c>
      <c r="C113" s="8" t="s">
        <v>23</v>
      </c>
      <c r="D113" s="25"/>
      <c r="E113" s="32">
        <v>227960</v>
      </c>
      <c r="F113" s="32">
        <v>31710</v>
      </c>
      <c r="G113" s="26">
        <v>260481</v>
      </c>
      <c r="H113" s="27">
        <f t="shared" si="0"/>
        <v>0.87515020289387713</v>
      </c>
      <c r="I113" s="27">
        <f t="shared" si="1"/>
        <v>0.12173632625796123</v>
      </c>
      <c r="J113" s="28"/>
      <c r="K113" s="32">
        <v>215801</v>
      </c>
      <c r="L113" s="32">
        <v>33737</v>
      </c>
      <c r="M113" s="26">
        <v>250473</v>
      </c>
      <c r="N113" s="27">
        <f t="shared" si="4"/>
        <v>0.86157390217708096</v>
      </c>
      <c r="O113" s="27">
        <f t="shared" si="5"/>
        <v>0.13469316054025784</v>
      </c>
    </row>
    <row r="114" spans="1:15" x14ac:dyDescent="0.2">
      <c r="A114" s="4" t="s">
        <v>230</v>
      </c>
      <c r="B114" s="4" t="s">
        <v>231</v>
      </c>
      <c r="C114" s="5" t="s">
        <v>8</v>
      </c>
      <c r="D114" s="25"/>
      <c r="E114" s="31">
        <v>115565</v>
      </c>
      <c r="F114" s="31">
        <v>120524</v>
      </c>
      <c r="G114" s="29">
        <v>237269</v>
      </c>
      <c r="H114" s="30">
        <f t="shared" si="0"/>
        <v>0.48706320674002923</v>
      </c>
      <c r="I114" s="30">
        <f t="shared" si="1"/>
        <v>0.50796353505936298</v>
      </c>
      <c r="J114" s="28"/>
      <c r="K114" s="31">
        <v>104168</v>
      </c>
      <c r="L114" s="31">
        <v>123297</v>
      </c>
      <c r="M114" s="29">
        <v>228771</v>
      </c>
      <c r="N114" s="30">
        <f t="shared" si="4"/>
        <v>0.45533743350337236</v>
      </c>
      <c r="O114" s="30">
        <f t="shared" si="5"/>
        <v>0.53895380096253453</v>
      </c>
    </row>
    <row r="115" spans="1:15" x14ac:dyDescent="0.2">
      <c r="A115" s="4" t="s">
        <v>232</v>
      </c>
      <c r="B115" s="4" t="s">
        <v>233</v>
      </c>
      <c r="C115" s="5" t="s">
        <v>8</v>
      </c>
      <c r="D115" s="25"/>
      <c r="E115" s="32">
        <v>141449</v>
      </c>
      <c r="F115" s="32">
        <v>123521</v>
      </c>
      <c r="G115" s="26">
        <v>266473</v>
      </c>
      <c r="H115" s="27">
        <f t="shared" si="0"/>
        <v>0.53081925748574899</v>
      </c>
      <c r="I115" s="27">
        <f t="shared" si="1"/>
        <v>0.46354039621274951</v>
      </c>
      <c r="J115" s="28"/>
      <c r="K115" s="32">
        <v>130750</v>
      </c>
      <c r="L115" s="32">
        <v>131802</v>
      </c>
      <c r="M115" s="26">
        <v>264189</v>
      </c>
      <c r="N115" s="27">
        <f t="shared" si="4"/>
        <v>0.49491084034535882</v>
      </c>
      <c r="O115" s="27">
        <f t="shared" si="5"/>
        <v>0.49889283808182777</v>
      </c>
    </row>
    <row r="116" spans="1:15" x14ac:dyDescent="0.2">
      <c r="A116" s="4" t="s">
        <v>234</v>
      </c>
      <c r="B116" s="4" t="s">
        <v>235</v>
      </c>
      <c r="C116" s="5" t="s">
        <v>8</v>
      </c>
      <c r="D116" s="25"/>
      <c r="E116" s="31">
        <v>129350</v>
      </c>
      <c r="F116" s="31">
        <v>113241</v>
      </c>
      <c r="G116" s="29">
        <v>243809</v>
      </c>
      <c r="H116" s="30">
        <f t="shared" si="0"/>
        <v>0.53053824920326975</v>
      </c>
      <c r="I116" s="30">
        <f t="shared" si="1"/>
        <v>0.46446603693875121</v>
      </c>
      <c r="J116" s="28"/>
      <c r="K116" s="31">
        <v>116754</v>
      </c>
      <c r="L116" s="31">
        <v>122474</v>
      </c>
      <c r="M116" s="29">
        <v>240628</v>
      </c>
      <c r="N116" s="30">
        <f t="shared" si="4"/>
        <v>0.48520537925760926</v>
      </c>
      <c r="O116" s="30">
        <f t="shared" si="5"/>
        <v>0.50897651146167533</v>
      </c>
    </row>
    <row r="117" spans="1:15" x14ac:dyDescent="0.2">
      <c r="A117" s="4" t="s">
        <v>236</v>
      </c>
      <c r="B117" s="4" t="s">
        <v>237</v>
      </c>
      <c r="C117" s="5" t="s">
        <v>8</v>
      </c>
      <c r="D117" s="25"/>
      <c r="E117" s="26">
        <v>111949</v>
      </c>
      <c r="F117" s="26">
        <v>145460</v>
      </c>
      <c r="G117" s="26">
        <v>260148</v>
      </c>
      <c r="H117" s="27">
        <f t="shared" si="0"/>
        <v>0.43032812091578637</v>
      </c>
      <c r="I117" s="27">
        <f t="shared" si="1"/>
        <v>0.55914325691529432</v>
      </c>
      <c r="J117" s="28"/>
      <c r="K117" s="26">
        <v>116029</v>
      </c>
      <c r="L117" s="26">
        <v>143603</v>
      </c>
      <c r="M117" s="26">
        <v>261140</v>
      </c>
      <c r="N117" s="27">
        <f t="shared" si="4"/>
        <v>0.44431722447729188</v>
      </c>
      <c r="O117" s="27">
        <f t="shared" si="5"/>
        <v>0.54990809527456541</v>
      </c>
    </row>
    <row r="118" spans="1:15" x14ac:dyDescent="0.2">
      <c r="A118" s="4" t="s">
        <v>238</v>
      </c>
      <c r="B118" s="4" t="s">
        <v>239</v>
      </c>
      <c r="C118" s="8" t="s">
        <v>23</v>
      </c>
      <c r="D118" s="25"/>
      <c r="E118" s="29">
        <v>153998</v>
      </c>
      <c r="F118" s="29">
        <v>107242</v>
      </c>
      <c r="G118" s="29">
        <v>262837</v>
      </c>
      <c r="H118" s="30">
        <f t="shared" si="0"/>
        <v>0.58590685481876603</v>
      </c>
      <c r="I118" s="30">
        <f t="shared" si="1"/>
        <v>0.40801713609575518</v>
      </c>
      <c r="J118" s="28"/>
      <c r="K118" s="29">
        <v>155809</v>
      </c>
      <c r="L118" s="29">
        <v>112005</v>
      </c>
      <c r="M118" s="29">
        <v>269039</v>
      </c>
      <c r="N118" s="30">
        <f t="shared" si="4"/>
        <v>0.57913165005817002</v>
      </c>
      <c r="O118" s="30">
        <f t="shared" si="5"/>
        <v>0.41631510673173777</v>
      </c>
    </row>
    <row r="119" spans="1:15" x14ac:dyDescent="0.2">
      <c r="A119" s="4" t="s">
        <v>240</v>
      </c>
      <c r="B119" s="4" t="s">
        <v>241</v>
      </c>
      <c r="C119" s="5" t="s">
        <v>8</v>
      </c>
      <c r="D119" s="25"/>
      <c r="E119" s="26">
        <v>97746</v>
      </c>
      <c r="F119" s="26">
        <v>195071</v>
      </c>
      <c r="G119" s="26">
        <v>296218</v>
      </c>
      <c r="H119" s="27">
        <f t="shared" si="0"/>
        <v>0.3299799472010479</v>
      </c>
      <c r="I119" s="27">
        <f t="shared" si="1"/>
        <v>0.65853864383663385</v>
      </c>
      <c r="J119" s="28"/>
      <c r="K119" s="26">
        <v>100498</v>
      </c>
      <c r="L119" s="26">
        <v>193264</v>
      </c>
      <c r="M119" s="26">
        <v>296017</v>
      </c>
      <c r="N119" s="27">
        <f t="shared" si="4"/>
        <v>0.33950077191512651</v>
      </c>
      <c r="O119" s="27">
        <f t="shared" si="5"/>
        <v>0.65288142235074342</v>
      </c>
    </row>
    <row r="120" spans="1:15" x14ac:dyDescent="0.2">
      <c r="A120" s="4" t="s">
        <v>242</v>
      </c>
      <c r="B120" s="4" t="s">
        <v>243</v>
      </c>
      <c r="C120" s="8" t="s">
        <v>23</v>
      </c>
      <c r="D120" s="25"/>
      <c r="E120" s="29">
        <v>218499</v>
      </c>
      <c r="F120" s="29">
        <v>75951</v>
      </c>
      <c r="G120" s="29">
        <v>296933</v>
      </c>
      <c r="H120" s="30">
        <f t="shared" si="0"/>
        <v>0.73585286916577142</v>
      </c>
      <c r="I120" s="30">
        <f t="shared" si="1"/>
        <v>0.25578497506171427</v>
      </c>
      <c r="J120" s="28"/>
      <c r="K120" s="29">
        <v>225977</v>
      </c>
      <c r="L120" s="29">
        <v>81136</v>
      </c>
      <c r="M120" s="29">
        <v>308702</v>
      </c>
      <c r="N120" s="30">
        <f t="shared" si="4"/>
        <v>0.73202311614437221</v>
      </c>
      <c r="O120" s="30">
        <f t="shared" si="5"/>
        <v>0.26282952491399475</v>
      </c>
    </row>
    <row r="121" spans="1:15" x14ac:dyDescent="0.2">
      <c r="A121" s="4" t="s">
        <v>244</v>
      </c>
      <c r="B121" s="4" t="s">
        <v>245</v>
      </c>
      <c r="C121" s="8" t="s">
        <v>23</v>
      </c>
      <c r="D121" s="25"/>
      <c r="E121" s="26">
        <v>241217</v>
      </c>
      <c r="F121" s="26">
        <v>45887</v>
      </c>
      <c r="G121" s="26">
        <v>290359</v>
      </c>
      <c r="H121" s="27">
        <f t="shared" si="0"/>
        <v>0.83075434203864873</v>
      </c>
      <c r="I121" s="27">
        <f t="shared" si="1"/>
        <v>0.1580353975595728</v>
      </c>
      <c r="J121" s="28"/>
      <c r="K121" s="26">
        <v>262388</v>
      </c>
      <c r="L121" s="26">
        <v>46724</v>
      </c>
      <c r="M121" s="26">
        <v>311008</v>
      </c>
      <c r="N121" s="27">
        <f t="shared" si="4"/>
        <v>0.84366961621566006</v>
      </c>
      <c r="O121" s="27">
        <f t="shared" si="5"/>
        <v>0.15023407757999793</v>
      </c>
    </row>
    <row r="122" spans="1:15" x14ac:dyDescent="0.2">
      <c r="A122" s="4" t="s">
        <v>246</v>
      </c>
      <c r="B122" s="4" t="s">
        <v>247</v>
      </c>
      <c r="C122" s="5" t="s">
        <v>8</v>
      </c>
      <c r="D122" s="25"/>
      <c r="E122" s="29">
        <v>115017</v>
      </c>
      <c r="F122" s="29">
        <v>186807</v>
      </c>
      <c r="G122" s="29">
        <v>307096</v>
      </c>
      <c r="H122" s="30">
        <f t="shared" si="0"/>
        <v>0.3745310912548519</v>
      </c>
      <c r="I122" s="30">
        <f t="shared" si="1"/>
        <v>0.60830163857555941</v>
      </c>
      <c r="J122" s="28"/>
      <c r="K122" s="29">
        <v>120560</v>
      </c>
      <c r="L122" s="29">
        <v>177477</v>
      </c>
      <c r="M122" s="29">
        <v>300950</v>
      </c>
      <c r="N122" s="30">
        <f t="shared" si="4"/>
        <v>0.40059810599767404</v>
      </c>
      <c r="O122" s="30">
        <f t="shared" si="5"/>
        <v>0.58972254527330126</v>
      </c>
    </row>
    <row r="123" spans="1:15" x14ac:dyDescent="0.2">
      <c r="A123" s="4" t="s">
        <v>248</v>
      </c>
      <c r="B123" s="4" t="s">
        <v>249</v>
      </c>
      <c r="C123" s="5" t="s">
        <v>8</v>
      </c>
      <c r="D123" s="25"/>
      <c r="E123" s="26">
        <v>101065</v>
      </c>
      <c r="F123" s="26">
        <v>158854</v>
      </c>
      <c r="G123" s="26">
        <v>263742</v>
      </c>
      <c r="H123" s="27">
        <f t="shared" si="0"/>
        <v>0.3831964571437238</v>
      </c>
      <c r="I123" s="27">
        <f t="shared" si="1"/>
        <v>0.60230831646078364</v>
      </c>
      <c r="J123" s="28"/>
      <c r="K123" s="26">
        <v>99165</v>
      </c>
      <c r="L123" s="26">
        <v>152310</v>
      </c>
      <c r="M123" s="26">
        <v>253576</v>
      </c>
      <c r="N123" s="27">
        <f t="shared" si="4"/>
        <v>0.39106618922926462</v>
      </c>
      <c r="O123" s="27">
        <f t="shared" si="5"/>
        <v>0.60064832634003218</v>
      </c>
    </row>
    <row r="124" spans="1:15" x14ac:dyDescent="0.2">
      <c r="A124" s="4" t="s">
        <v>250</v>
      </c>
      <c r="B124" s="4" t="s">
        <v>251</v>
      </c>
      <c r="C124" s="5" t="s">
        <v>8</v>
      </c>
      <c r="D124" s="25"/>
      <c r="E124" s="29">
        <v>99677</v>
      </c>
      <c r="F124" s="29">
        <v>163908</v>
      </c>
      <c r="G124" s="29">
        <v>265963</v>
      </c>
      <c r="H124" s="30">
        <f t="shared" si="0"/>
        <v>0.37477769464173588</v>
      </c>
      <c r="I124" s="30">
        <f t="shared" si="1"/>
        <v>0.61628121204829245</v>
      </c>
      <c r="J124" s="28"/>
      <c r="K124" s="29">
        <v>100004</v>
      </c>
      <c r="L124" s="29">
        <v>162850</v>
      </c>
      <c r="M124" s="29">
        <v>264482</v>
      </c>
      <c r="N124" s="30">
        <f t="shared" si="4"/>
        <v>0.37811268819806265</v>
      </c>
      <c r="O124" s="30">
        <f t="shared" si="5"/>
        <v>0.6157318834552068</v>
      </c>
    </row>
    <row r="125" spans="1:15" x14ac:dyDescent="0.2">
      <c r="A125" s="4" t="s">
        <v>252</v>
      </c>
      <c r="B125" s="4" t="s">
        <v>253</v>
      </c>
      <c r="C125" s="5" t="s">
        <v>8</v>
      </c>
      <c r="D125" s="25"/>
      <c r="E125" s="26">
        <v>54388</v>
      </c>
      <c r="F125" s="26">
        <v>207498</v>
      </c>
      <c r="G125" s="26">
        <v>265551</v>
      </c>
      <c r="H125" s="27">
        <f t="shared" si="0"/>
        <v>0.20481188171010464</v>
      </c>
      <c r="I125" s="27">
        <f t="shared" si="1"/>
        <v>0.78138662629777333</v>
      </c>
      <c r="J125" s="28"/>
      <c r="K125" s="26">
        <v>64381</v>
      </c>
      <c r="L125" s="26">
        <v>198004</v>
      </c>
      <c r="M125" s="26">
        <v>265060</v>
      </c>
      <c r="N125" s="27">
        <f t="shared" si="4"/>
        <v>0.24289217535652305</v>
      </c>
      <c r="O125" s="27">
        <f t="shared" si="5"/>
        <v>0.74701577001433639</v>
      </c>
    </row>
    <row r="126" spans="1:15" x14ac:dyDescent="0.2">
      <c r="A126" s="4" t="s">
        <v>254</v>
      </c>
      <c r="B126" s="4" t="s">
        <v>255</v>
      </c>
      <c r="C126" s="5" t="s">
        <v>8</v>
      </c>
      <c r="D126" s="25"/>
      <c r="E126" s="29">
        <v>107039</v>
      </c>
      <c r="F126" s="29">
        <v>184160</v>
      </c>
      <c r="G126" s="29">
        <v>294851</v>
      </c>
      <c r="H126" s="30">
        <f t="shared" si="0"/>
        <v>0.36302742741248972</v>
      </c>
      <c r="I126" s="30">
        <f t="shared" si="1"/>
        <v>0.6245866556328451</v>
      </c>
      <c r="J126" s="28"/>
      <c r="K126" s="29">
        <v>113346</v>
      </c>
      <c r="L126" s="29">
        <v>176532</v>
      </c>
      <c r="M126" s="29">
        <v>292252</v>
      </c>
      <c r="N126" s="30">
        <f t="shared" si="4"/>
        <v>0.38783652464311619</v>
      </c>
      <c r="O126" s="30">
        <f t="shared" si="5"/>
        <v>0.60404034874012835</v>
      </c>
    </row>
    <row r="127" spans="1:15" x14ac:dyDescent="0.2">
      <c r="A127" s="4" t="s">
        <v>256</v>
      </c>
      <c r="B127" s="4" t="s">
        <v>257</v>
      </c>
      <c r="C127" s="5" t="s">
        <v>8</v>
      </c>
      <c r="D127" s="25"/>
      <c r="E127" s="26">
        <v>94447</v>
      </c>
      <c r="F127" s="26">
        <v>201014</v>
      </c>
      <c r="G127" s="26">
        <v>300276</v>
      </c>
      <c r="H127" s="27">
        <f t="shared" si="0"/>
        <v>0.31453396208821216</v>
      </c>
      <c r="I127" s="27">
        <f t="shared" si="1"/>
        <v>0.66943079033955433</v>
      </c>
      <c r="J127" s="28"/>
      <c r="K127" s="26">
        <v>102718</v>
      </c>
      <c r="L127" s="26">
        <v>190544</v>
      </c>
      <c r="M127" s="26">
        <v>296160</v>
      </c>
      <c r="N127" s="27">
        <f t="shared" si="4"/>
        <v>0.34683279308481901</v>
      </c>
      <c r="O127" s="27">
        <f t="shared" si="5"/>
        <v>0.64338195569962187</v>
      </c>
    </row>
    <row r="128" spans="1:15" x14ac:dyDescent="0.2">
      <c r="A128" s="4" t="s">
        <v>258</v>
      </c>
      <c r="B128" s="4" t="s">
        <v>259</v>
      </c>
      <c r="C128" s="5" t="s">
        <v>8</v>
      </c>
      <c r="D128" s="25"/>
      <c r="E128" s="29">
        <v>117085</v>
      </c>
      <c r="F128" s="29">
        <v>148688</v>
      </c>
      <c r="G128" s="29">
        <v>268283</v>
      </c>
      <c r="H128" s="30">
        <f t="shared" si="0"/>
        <v>0.43642347819280386</v>
      </c>
      <c r="I128" s="30">
        <f t="shared" si="1"/>
        <v>0.55422072960269564</v>
      </c>
      <c r="J128" s="28"/>
      <c r="K128" s="29">
        <v>116658</v>
      </c>
      <c r="L128" s="29">
        <v>147742</v>
      </c>
      <c r="M128" s="29">
        <v>265819</v>
      </c>
      <c r="N128" s="30">
        <f t="shared" si="4"/>
        <v>0.43886253428084526</v>
      </c>
      <c r="O128" s="30">
        <f t="shared" si="5"/>
        <v>0.55579924685594329</v>
      </c>
    </row>
    <row r="129" spans="1:15" x14ac:dyDescent="0.2">
      <c r="A129" s="4" t="s">
        <v>260</v>
      </c>
      <c r="B129" s="4" t="s">
        <v>261</v>
      </c>
      <c r="C129" s="8" t="s">
        <v>23</v>
      </c>
      <c r="D129" s="25"/>
      <c r="E129" s="26">
        <v>202794</v>
      </c>
      <c r="F129" s="26">
        <v>87785</v>
      </c>
      <c r="G129" s="26">
        <v>292880</v>
      </c>
      <c r="H129" s="27">
        <f t="shared" si="0"/>
        <v>0.69241327506145867</v>
      </c>
      <c r="I129" s="27">
        <f t="shared" si="1"/>
        <v>0.29973026495493033</v>
      </c>
      <c r="J129" s="28"/>
      <c r="K129" s="26">
        <v>199839</v>
      </c>
      <c r="L129" s="26">
        <v>96244</v>
      </c>
      <c r="M129" s="26">
        <v>297602</v>
      </c>
      <c r="N129" s="27">
        <f t="shared" si="4"/>
        <v>0.67149750337699343</v>
      </c>
      <c r="O129" s="27">
        <f t="shared" si="5"/>
        <v>0.3233983642583047</v>
      </c>
    </row>
    <row r="130" spans="1:15" x14ac:dyDescent="0.2">
      <c r="A130" s="4" t="s">
        <v>262</v>
      </c>
      <c r="B130" s="4" t="s">
        <v>263</v>
      </c>
      <c r="C130" s="5" t="s">
        <v>8</v>
      </c>
      <c r="D130" s="25"/>
      <c r="E130" s="29">
        <v>58906</v>
      </c>
      <c r="F130" s="29">
        <v>170364</v>
      </c>
      <c r="G130" s="29">
        <v>232702</v>
      </c>
      <c r="H130" s="30">
        <f t="shared" si="0"/>
        <v>0.25313920808587809</v>
      </c>
      <c r="I130" s="30">
        <f t="shared" si="1"/>
        <v>0.73211231532174192</v>
      </c>
      <c r="J130" s="28"/>
      <c r="K130" s="29">
        <v>66752</v>
      </c>
      <c r="L130" s="29">
        <v>170324</v>
      </c>
      <c r="M130" s="29">
        <v>239806</v>
      </c>
      <c r="N130" s="30">
        <f t="shared" si="4"/>
        <v>0.27835833965789014</v>
      </c>
      <c r="O130" s="30">
        <f t="shared" si="5"/>
        <v>0.71025745811197383</v>
      </c>
    </row>
    <row r="131" spans="1:15" x14ac:dyDescent="0.2">
      <c r="A131" s="4" t="s">
        <v>264</v>
      </c>
      <c r="B131" s="4" t="s">
        <v>265</v>
      </c>
      <c r="C131" s="8" t="s">
        <v>23</v>
      </c>
      <c r="D131" s="25"/>
      <c r="E131" s="26">
        <v>151023</v>
      </c>
      <c r="F131" s="26">
        <v>62875</v>
      </c>
      <c r="G131" s="26">
        <v>216671</v>
      </c>
      <c r="H131" s="27">
        <f t="shared" si="0"/>
        <v>0.69701529046342148</v>
      </c>
      <c r="I131" s="27">
        <f t="shared" si="1"/>
        <v>0.29018650396222845</v>
      </c>
      <c r="J131" s="28"/>
      <c r="K131" s="26">
        <v>156408</v>
      </c>
      <c r="L131" s="26">
        <v>63007</v>
      </c>
      <c r="M131" s="26">
        <v>222577</v>
      </c>
      <c r="N131" s="27">
        <f t="shared" si="4"/>
        <v>0.70271411691234942</v>
      </c>
      <c r="O131" s="27">
        <f t="shared" si="5"/>
        <v>0.2830795634769091</v>
      </c>
    </row>
    <row r="132" spans="1:15" x14ac:dyDescent="0.2">
      <c r="A132" s="4" t="s">
        <v>266</v>
      </c>
      <c r="B132" s="4" t="s">
        <v>267</v>
      </c>
      <c r="C132" s="8" t="s">
        <v>23</v>
      </c>
      <c r="D132" s="25"/>
      <c r="E132" s="29">
        <v>155635</v>
      </c>
      <c r="F132" s="29">
        <v>58140</v>
      </c>
      <c r="G132" s="29">
        <v>218026</v>
      </c>
      <c r="H132" s="30">
        <f t="shared" si="0"/>
        <v>0.71383688183978056</v>
      </c>
      <c r="I132" s="30">
        <f t="shared" si="1"/>
        <v>0.26666544357095023</v>
      </c>
      <c r="J132" s="28"/>
      <c r="K132" s="29">
        <v>169463</v>
      </c>
      <c r="L132" s="29">
        <v>57559</v>
      </c>
      <c r="M132" s="29">
        <v>230991</v>
      </c>
      <c r="N132" s="30">
        <f t="shared" si="4"/>
        <v>0.73363464377399989</v>
      </c>
      <c r="O132" s="30">
        <f t="shared" si="5"/>
        <v>0.24918286859661198</v>
      </c>
    </row>
    <row r="133" spans="1:15" x14ac:dyDescent="0.2">
      <c r="A133" s="4" t="s">
        <v>268</v>
      </c>
      <c r="B133" s="4" t="s">
        <v>269</v>
      </c>
      <c r="C133" s="5" t="s">
        <v>8</v>
      </c>
      <c r="D133" s="25"/>
      <c r="E133" s="26">
        <v>225585</v>
      </c>
      <c r="F133" s="26">
        <v>170753</v>
      </c>
      <c r="G133" s="26">
        <v>401501</v>
      </c>
      <c r="H133" s="27">
        <f t="shared" si="0"/>
        <v>0.56185414233090325</v>
      </c>
      <c r="I133" s="27">
        <f t="shared" si="1"/>
        <v>0.42528661198851309</v>
      </c>
      <c r="J133" s="28"/>
      <c r="K133" s="26">
        <v>227310</v>
      </c>
      <c r="L133" s="26">
        <v>156980</v>
      </c>
      <c r="M133" s="26">
        <v>388667</v>
      </c>
      <c r="N133" s="27">
        <f t="shared" si="4"/>
        <v>0.58484512448960169</v>
      </c>
      <c r="O133" s="27">
        <f t="shared" si="5"/>
        <v>0.40389330712409338</v>
      </c>
    </row>
    <row r="134" spans="1:15" x14ac:dyDescent="0.2">
      <c r="A134" s="4" t="s">
        <v>270</v>
      </c>
      <c r="B134" s="4" t="s">
        <v>271</v>
      </c>
      <c r="C134" s="8" t="s">
        <v>23</v>
      </c>
      <c r="D134" s="25"/>
      <c r="E134" s="29">
        <v>219946</v>
      </c>
      <c r="F134" s="29">
        <v>168534</v>
      </c>
      <c r="G134" s="29">
        <v>394310</v>
      </c>
      <c r="H134" s="30">
        <f t="shared" si="0"/>
        <v>0.55779970074307017</v>
      </c>
      <c r="I134" s="30">
        <f t="shared" si="1"/>
        <v>0.42741497806294537</v>
      </c>
      <c r="J134" s="28"/>
      <c r="K134" s="29">
        <v>219565</v>
      </c>
      <c r="L134" s="29">
        <v>159959</v>
      </c>
      <c r="M134" s="29">
        <v>384369</v>
      </c>
      <c r="N134" s="30">
        <f t="shared" si="4"/>
        <v>0.57123493309814266</v>
      </c>
      <c r="O134" s="30">
        <f t="shared" si="5"/>
        <v>0.41615999209093346</v>
      </c>
    </row>
    <row r="135" spans="1:15" x14ac:dyDescent="0.2">
      <c r="A135" s="4" t="s">
        <v>272</v>
      </c>
      <c r="B135" s="4" t="s">
        <v>273</v>
      </c>
      <c r="C135" s="5" t="s">
        <v>8</v>
      </c>
      <c r="D135" s="25"/>
      <c r="E135" s="26">
        <v>203622</v>
      </c>
      <c r="F135" s="26">
        <v>186645</v>
      </c>
      <c r="G135" s="26">
        <v>395798</v>
      </c>
      <c r="H135" s="27">
        <f t="shared" si="0"/>
        <v>0.51445939595450207</v>
      </c>
      <c r="I135" s="27">
        <f t="shared" si="1"/>
        <v>0.4715663040237697</v>
      </c>
      <c r="J135" s="28"/>
      <c r="K135" s="26">
        <v>197112</v>
      </c>
      <c r="L135" s="26">
        <v>173967</v>
      </c>
      <c r="M135" s="26">
        <v>375933</v>
      </c>
      <c r="N135" s="27">
        <f t="shared" si="4"/>
        <v>0.52432747324656259</v>
      </c>
      <c r="O135" s="27">
        <f t="shared" si="5"/>
        <v>0.46276065149907031</v>
      </c>
    </row>
    <row r="136" spans="1:15" x14ac:dyDescent="0.2">
      <c r="A136" s="4" t="s">
        <v>274</v>
      </c>
      <c r="B136" s="4" t="s">
        <v>275</v>
      </c>
      <c r="C136" s="5" t="s">
        <v>8</v>
      </c>
      <c r="D136" s="25"/>
      <c r="E136" s="29">
        <v>173391</v>
      </c>
      <c r="F136" s="29">
        <v>204685</v>
      </c>
      <c r="G136" s="29">
        <v>383129</v>
      </c>
      <c r="H136" s="30">
        <f t="shared" si="0"/>
        <v>0.452565584959635</v>
      </c>
      <c r="I136" s="30">
        <f t="shared" si="1"/>
        <v>0.53424564572245903</v>
      </c>
      <c r="J136" s="28"/>
      <c r="K136" s="29">
        <v>184953</v>
      </c>
      <c r="L136" s="29">
        <v>191473</v>
      </c>
      <c r="M136" s="29">
        <v>381114</v>
      </c>
      <c r="N136" s="30">
        <f t="shared" si="4"/>
        <v>0.48529573828303341</v>
      </c>
      <c r="O136" s="30">
        <f t="shared" si="5"/>
        <v>0.50240348032347282</v>
      </c>
    </row>
    <row r="137" spans="1:15" x14ac:dyDescent="0.2">
      <c r="A137" s="4" t="s">
        <v>276</v>
      </c>
      <c r="B137" s="4" t="s">
        <v>277</v>
      </c>
      <c r="C137" s="5" t="s">
        <v>8</v>
      </c>
      <c r="D137" s="25"/>
      <c r="E137" s="26">
        <v>105645</v>
      </c>
      <c r="F137" s="26">
        <v>213080</v>
      </c>
      <c r="G137" s="26">
        <v>328258</v>
      </c>
      <c r="H137" s="27">
        <f t="shared" si="0"/>
        <v>0.32183526372548421</v>
      </c>
      <c r="I137" s="27">
        <f t="shared" si="1"/>
        <v>0.64912355525227106</v>
      </c>
      <c r="J137" s="28"/>
      <c r="K137" s="26">
        <v>115925</v>
      </c>
      <c r="L137" s="26">
        <v>206273</v>
      </c>
      <c r="M137" s="26">
        <v>329856</v>
      </c>
      <c r="N137" s="27">
        <f t="shared" si="4"/>
        <v>0.35144123496313545</v>
      </c>
      <c r="O137" s="27">
        <f t="shared" si="5"/>
        <v>0.62534257372914237</v>
      </c>
    </row>
    <row r="138" spans="1:15" x14ac:dyDescent="0.2">
      <c r="A138" s="4" t="s">
        <v>278</v>
      </c>
      <c r="B138" s="4" t="s">
        <v>279</v>
      </c>
      <c r="C138" s="5" t="s">
        <v>8</v>
      </c>
      <c r="D138" s="25"/>
      <c r="E138" s="29">
        <v>107142</v>
      </c>
      <c r="F138" s="29">
        <v>207831</v>
      </c>
      <c r="G138" s="29">
        <v>324016</v>
      </c>
      <c r="H138" s="30">
        <f t="shared" si="0"/>
        <v>0.33066885585896993</v>
      </c>
      <c r="I138" s="30">
        <f t="shared" si="1"/>
        <v>0.64142202854180042</v>
      </c>
      <c r="J138" s="28"/>
      <c r="K138" s="29">
        <v>120515</v>
      </c>
      <c r="L138" s="29">
        <v>196739</v>
      </c>
      <c r="M138" s="29">
        <v>325176</v>
      </c>
      <c r="N138" s="30">
        <f t="shared" si="4"/>
        <v>0.37061468251039437</v>
      </c>
      <c r="O138" s="30">
        <f t="shared" si="5"/>
        <v>0.6050231259379536</v>
      </c>
    </row>
    <row r="139" spans="1:15" x14ac:dyDescent="0.2">
      <c r="A139" s="4" t="s">
        <v>280</v>
      </c>
      <c r="B139" s="4" t="s">
        <v>281</v>
      </c>
      <c r="C139" s="8" t="s">
        <v>23</v>
      </c>
      <c r="D139" s="25"/>
      <c r="E139" s="26">
        <v>262668</v>
      </c>
      <c r="F139" s="26">
        <v>67367</v>
      </c>
      <c r="G139" s="26">
        <v>332726</v>
      </c>
      <c r="H139" s="27">
        <f t="shared" si="0"/>
        <v>0.7894423639871847</v>
      </c>
      <c r="I139" s="27">
        <f t="shared" si="1"/>
        <v>0.20246990015808802</v>
      </c>
      <c r="J139" s="28"/>
      <c r="K139" s="26">
        <v>288077</v>
      </c>
      <c r="L139" s="26">
        <v>66262</v>
      </c>
      <c r="M139" s="26">
        <v>356028</v>
      </c>
      <c r="N139" s="27">
        <f t="shared" si="4"/>
        <v>0.8091414158436977</v>
      </c>
      <c r="O139" s="27">
        <f t="shared" si="5"/>
        <v>0.18611457525812578</v>
      </c>
    </row>
    <row r="140" spans="1:15" x14ac:dyDescent="0.2">
      <c r="A140" s="4" t="s">
        <v>282</v>
      </c>
      <c r="B140" s="4" t="s">
        <v>283</v>
      </c>
      <c r="C140" s="8" t="s">
        <v>23</v>
      </c>
      <c r="D140" s="25"/>
      <c r="E140" s="29">
        <v>251147</v>
      </c>
      <c r="F140" s="29">
        <v>57674</v>
      </c>
      <c r="G140" s="29">
        <v>311173</v>
      </c>
      <c r="H140" s="30">
        <f t="shared" si="0"/>
        <v>0.8070976595013063</v>
      </c>
      <c r="I140" s="30">
        <f t="shared" si="1"/>
        <v>0.18534384409958449</v>
      </c>
      <c r="J140" s="28"/>
      <c r="K140" s="29">
        <v>269943</v>
      </c>
      <c r="L140" s="29">
        <v>60734</v>
      </c>
      <c r="M140" s="29">
        <v>332652</v>
      </c>
      <c r="N140" s="30">
        <f t="shared" si="4"/>
        <v>0.81148768081959521</v>
      </c>
      <c r="O140" s="30">
        <f t="shared" si="5"/>
        <v>0.18257518367543257</v>
      </c>
    </row>
    <row r="141" spans="1:15" x14ac:dyDescent="0.2">
      <c r="A141" s="4" t="s">
        <v>284</v>
      </c>
      <c r="B141" s="4" t="s">
        <v>285</v>
      </c>
      <c r="C141" s="8" t="s">
        <v>23</v>
      </c>
      <c r="D141" s="25"/>
      <c r="E141" s="26">
        <v>143676</v>
      </c>
      <c r="F141" s="26">
        <v>109396</v>
      </c>
      <c r="G141" s="26">
        <v>256893</v>
      </c>
      <c r="H141" s="27">
        <f t="shared" si="0"/>
        <v>0.55928343707302264</v>
      </c>
      <c r="I141" s="27">
        <f t="shared" si="1"/>
        <v>0.42584266601269788</v>
      </c>
      <c r="J141" s="28"/>
      <c r="K141" s="26">
        <v>159475</v>
      </c>
      <c r="L141" s="26">
        <v>110701</v>
      </c>
      <c r="M141" s="26">
        <v>273174</v>
      </c>
      <c r="N141" s="27">
        <f t="shared" si="4"/>
        <v>0.58378542613865159</v>
      </c>
      <c r="O141" s="27">
        <f t="shared" si="5"/>
        <v>0.40523988373710529</v>
      </c>
    </row>
    <row r="142" spans="1:15" x14ac:dyDescent="0.2">
      <c r="A142" s="4" t="s">
        <v>286</v>
      </c>
      <c r="B142" s="4" t="s">
        <v>287</v>
      </c>
      <c r="C142" s="8" t="s">
        <v>23</v>
      </c>
      <c r="D142" s="25"/>
      <c r="E142" s="29">
        <v>137065</v>
      </c>
      <c r="F142" s="29">
        <v>28899</v>
      </c>
      <c r="G142" s="29">
        <v>169434</v>
      </c>
      <c r="H142" s="30">
        <f t="shared" si="0"/>
        <v>0.80895806036568807</v>
      </c>
      <c r="I142" s="30">
        <f t="shared" si="1"/>
        <v>0.17056198873897802</v>
      </c>
      <c r="J142" s="28"/>
      <c r="K142" s="29">
        <v>144949</v>
      </c>
      <c r="L142" s="29">
        <v>32767</v>
      </c>
      <c r="M142" s="29">
        <v>180051</v>
      </c>
      <c r="N142" s="30">
        <f t="shared" si="4"/>
        <v>0.80504412638641276</v>
      </c>
      <c r="O142" s="30">
        <f t="shared" si="5"/>
        <v>0.18198732581324181</v>
      </c>
    </row>
    <row r="143" spans="1:15" x14ac:dyDescent="0.2">
      <c r="A143" s="4" t="s">
        <v>288</v>
      </c>
      <c r="B143" s="4" t="s">
        <v>289</v>
      </c>
      <c r="C143" s="8" t="s">
        <v>23</v>
      </c>
      <c r="D143" s="25"/>
      <c r="E143" s="26">
        <v>188324</v>
      </c>
      <c r="F143" s="26">
        <v>90747</v>
      </c>
      <c r="G143" s="26">
        <v>285239</v>
      </c>
      <c r="H143" s="27">
        <f t="shared" si="0"/>
        <v>0.66023229642510317</v>
      </c>
      <c r="I143" s="27">
        <f t="shared" si="1"/>
        <v>0.31814373209834562</v>
      </c>
      <c r="J143" s="28"/>
      <c r="K143" s="26">
        <v>214869</v>
      </c>
      <c r="L143" s="26">
        <v>88466</v>
      </c>
      <c r="M143" s="26">
        <v>307613</v>
      </c>
      <c r="N143" s="27">
        <f t="shared" si="4"/>
        <v>0.6985042894806136</v>
      </c>
      <c r="O143" s="27">
        <f t="shared" si="5"/>
        <v>0.28758862596834334</v>
      </c>
    </row>
    <row r="144" spans="1:15" x14ac:dyDescent="0.2">
      <c r="A144" s="4" t="s">
        <v>290</v>
      </c>
      <c r="B144" s="4" t="s">
        <v>291</v>
      </c>
      <c r="C144" s="5" t="s">
        <v>8</v>
      </c>
      <c r="D144" s="25"/>
      <c r="E144" s="29">
        <v>151937</v>
      </c>
      <c r="F144" s="29">
        <v>179606</v>
      </c>
      <c r="G144" s="29">
        <v>336936</v>
      </c>
      <c r="H144" s="30">
        <f t="shared" si="0"/>
        <v>0.45093726998599143</v>
      </c>
      <c r="I144" s="30">
        <f t="shared" si="1"/>
        <v>0.53305672293848094</v>
      </c>
      <c r="J144" s="28"/>
      <c r="K144" s="29">
        <v>179195</v>
      </c>
      <c r="L144" s="29">
        <v>165272</v>
      </c>
      <c r="M144" s="29">
        <v>349055</v>
      </c>
      <c r="N144" s="30">
        <f t="shared" si="4"/>
        <v>0.51337181819484035</v>
      </c>
      <c r="O144" s="30">
        <f t="shared" si="5"/>
        <v>0.4734841214135308</v>
      </c>
    </row>
    <row r="145" spans="1:15" x14ac:dyDescent="0.2">
      <c r="A145" s="4" t="s">
        <v>292</v>
      </c>
      <c r="B145" s="4" t="s">
        <v>293</v>
      </c>
      <c r="C145" s="8" t="s">
        <v>23</v>
      </c>
      <c r="D145" s="25"/>
      <c r="E145" s="26">
        <v>264185</v>
      </c>
      <c r="F145" s="26">
        <v>35713</v>
      </c>
      <c r="G145" s="26">
        <v>302887</v>
      </c>
      <c r="H145" s="27">
        <f t="shared" si="0"/>
        <v>0.87222297424452022</v>
      </c>
      <c r="I145" s="27">
        <f t="shared" si="1"/>
        <v>0.11790865900484339</v>
      </c>
      <c r="J145" s="28"/>
      <c r="K145" s="26">
        <v>284117</v>
      </c>
      <c r="L145" s="26">
        <v>31528</v>
      </c>
      <c r="M145" s="26">
        <v>317655</v>
      </c>
      <c r="N145" s="27">
        <f t="shared" si="4"/>
        <v>0.89442004690623478</v>
      </c>
      <c r="O145" s="27">
        <f t="shared" si="5"/>
        <v>9.925233350647715E-2</v>
      </c>
    </row>
    <row r="146" spans="1:15" x14ac:dyDescent="0.2">
      <c r="A146" s="4" t="s">
        <v>294</v>
      </c>
      <c r="B146" s="4" t="s">
        <v>295</v>
      </c>
      <c r="C146" s="8" t="s">
        <v>23</v>
      </c>
      <c r="D146" s="25"/>
      <c r="E146" s="29">
        <v>133206</v>
      </c>
      <c r="F146" s="29">
        <v>95031</v>
      </c>
      <c r="G146" s="29">
        <v>232123</v>
      </c>
      <c r="H146" s="30">
        <f t="shared" si="0"/>
        <v>0.5738595486013881</v>
      </c>
      <c r="I146" s="30">
        <f t="shared" si="1"/>
        <v>0.4093993270809011</v>
      </c>
      <c r="J146" s="28"/>
      <c r="K146" s="29">
        <v>150851</v>
      </c>
      <c r="L146" s="29">
        <v>91057</v>
      </c>
      <c r="M146" s="29">
        <v>245234</v>
      </c>
      <c r="N146" s="30">
        <f t="shared" si="4"/>
        <v>0.61513085461232941</v>
      </c>
      <c r="O146" s="30">
        <f t="shared" si="5"/>
        <v>0.37130658880905582</v>
      </c>
    </row>
    <row r="147" spans="1:15" x14ac:dyDescent="0.2">
      <c r="A147" s="4" t="s">
        <v>296</v>
      </c>
      <c r="B147" s="4" t="s">
        <v>297</v>
      </c>
      <c r="C147" s="8" t="s">
        <v>23</v>
      </c>
      <c r="D147" s="25"/>
      <c r="E147" s="26">
        <v>200656</v>
      </c>
      <c r="F147" s="26">
        <v>102689</v>
      </c>
      <c r="G147" s="26">
        <v>308492</v>
      </c>
      <c r="H147" s="27">
        <f t="shared" si="0"/>
        <v>0.65044150253491173</v>
      </c>
      <c r="I147" s="27">
        <f t="shared" si="1"/>
        <v>0.33287411018762236</v>
      </c>
      <c r="J147" s="28"/>
      <c r="K147" s="26">
        <v>222256</v>
      </c>
      <c r="L147" s="26">
        <v>98111</v>
      </c>
      <c r="M147" s="26">
        <v>324117</v>
      </c>
      <c r="N147" s="27">
        <f t="shared" si="4"/>
        <v>0.68572768475581347</v>
      </c>
      <c r="O147" s="27">
        <f t="shared" si="5"/>
        <v>0.30270241918813268</v>
      </c>
    </row>
    <row r="148" spans="1:15" x14ac:dyDescent="0.2">
      <c r="A148" s="4" t="s">
        <v>298</v>
      </c>
      <c r="B148" s="4" t="s">
        <v>299</v>
      </c>
      <c r="C148" s="5" t="s">
        <v>8</v>
      </c>
      <c r="D148" s="25"/>
      <c r="E148" s="29">
        <v>157397</v>
      </c>
      <c r="F148" s="29">
        <v>112555</v>
      </c>
      <c r="G148" s="29">
        <v>273616</v>
      </c>
      <c r="H148" s="30">
        <f t="shared" si="0"/>
        <v>0.57524779252675284</v>
      </c>
      <c r="I148" s="30">
        <f t="shared" si="1"/>
        <v>0.4113611777089059</v>
      </c>
      <c r="J148" s="28"/>
      <c r="K148" s="29">
        <v>180786</v>
      </c>
      <c r="L148" s="29">
        <v>103178</v>
      </c>
      <c r="M148" s="29">
        <v>287009</v>
      </c>
      <c r="N148" s="30">
        <f t="shared" si="4"/>
        <v>0.62989662345083253</v>
      </c>
      <c r="O148" s="30">
        <f t="shared" si="5"/>
        <v>0.3594939531512949</v>
      </c>
    </row>
    <row r="149" spans="1:15" x14ac:dyDescent="0.2">
      <c r="A149" s="4" t="s">
        <v>300</v>
      </c>
      <c r="B149" s="4" t="s">
        <v>301</v>
      </c>
      <c r="C149" s="8" t="s">
        <v>23</v>
      </c>
      <c r="D149" s="25"/>
      <c r="E149" s="26">
        <v>152265</v>
      </c>
      <c r="F149" s="26">
        <v>107028</v>
      </c>
      <c r="G149" s="26">
        <v>263345</v>
      </c>
      <c r="H149" s="27">
        <f t="shared" si="0"/>
        <v>0.5781959027131709</v>
      </c>
      <c r="I149" s="27">
        <f t="shared" si="1"/>
        <v>0.40641743720214929</v>
      </c>
      <c r="J149" s="28"/>
      <c r="K149" s="26">
        <v>168654</v>
      </c>
      <c r="L149" s="26">
        <v>102909</v>
      </c>
      <c r="M149" s="26">
        <v>273024</v>
      </c>
      <c r="N149" s="27">
        <f t="shared" si="4"/>
        <v>0.61772591420534462</v>
      </c>
      <c r="O149" s="27">
        <f t="shared" si="5"/>
        <v>0.37692290787623067</v>
      </c>
    </row>
    <row r="150" spans="1:15" x14ac:dyDescent="0.2">
      <c r="A150" s="4" t="s">
        <v>302</v>
      </c>
      <c r="B150" s="4" t="s">
        <v>303</v>
      </c>
      <c r="C150" s="5" t="s">
        <v>8</v>
      </c>
      <c r="D150" s="25"/>
      <c r="E150" s="29">
        <v>154346</v>
      </c>
      <c r="F150" s="29">
        <v>149339</v>
      </c>
      <c r="G150" s="29">
        <v>310294</v>
      </c>
      <c r="H150" s="30">
        <f t="shared" si="0"/>
        <v>0.49741857722031363</v>
      </c>
      <c r="I150" s="30">
        <f t="shared" si="1"/>
        <v>0.48128226778474609</v>
      </c>
      <c r="J150" s="28"/>
      <c r="K150" s="29">
        <v>179180</v>
      </c>
      <c r="L150" s="29">
        <v>142724</v>
      </c>
      <c r="M150" s="29">
        <v>327336</v>
      </c>
      <c r="N150" s="30">
        <f t="shared" si="4"/>
        <v>0.5473886159786886</v>
      </c>
      <c r="O150" s="30">
        <f t="shared" si="5"/>
        <v>0.43601681452696922</v>
      </c>
    </row>
    <row r="151" spans="1:15" x14ac:dyDescent="0.2">
      <c r="A151" s="4" t="s">
        <v>304</v>
      </c>
      <c r="B151" s="4" t="s">
        <v>305</v>
      </c>
      <c r="C151" s="5" t="s">
        <v>8</v>
      </c>
      <c r="D151" s="25"/>
      <c r="E151" s="26">
        <v>146442</v>
      </c>
      <c r="F151" s="26">
        <v>147377</v>
      </c>
      <c r="G151" s="26">
        <v>301088</v>
      </c>
      <c r="H151" s="27">
        <f t="shared" si="0"/>
        <v>0.48637607609735362</v>
      </c>
      <c r="I151" s="27">
        <f t="shared" si="1"/>
        <v>0.48948148049739609</v>
      </c>
      <c r="J151" s="28"/>
      <c r="K151" s="26">
        <v>175215</v>
      </c>
      <c r="L151" s="26">
        <v>139650</v>
      </c>
      <c r="M151" s="26">
        <v>320653</v>
      </c>
      <c r="N151" s="27">
        <f t="shared" si="4"/>
        <v>0.54643181258244899</v>
      </c>
      <c r="O151" s="27">
        <f t="shared" si="5"/>
        <v>0.43551752205655336</v>
      </c>
    </row>
    <row r="152" spans="1:15" x14ac:dyDescent="0.2">
      <c r="A152" s="4" t="s">
        <v>306</v>
      </c>
      <c r="B152" s="4" t="s">
        <v>307</v>
      </c>
      <c r="C152" s="5" t="s">
        <v>8</v>
      </c>
      <c r="D152" s="25"/>
      <c r="E152" s="29">
        <v>139858</v>
      </c>
      <c r="F152" s="29">
        <v>171582</v>
      </c>
      <c r="G152" s="29">
        <v>316591</v>
      </c>
      <c r="H152" s="30">
        <f t="shared" si="0"/>
        <v>0.44176240006822681</v>
      </c>
      <c r="I152" s="30">
        <f t="shared" si="1"/>
        <v>0.5419673964199867</v>
      </c>
      <c r="J152" s="28"/>
      <c r="K152" s="29">
        <v>163089</v>
      </c>
      <c r="L152" s="29">
        <v>155194</v>
      </c>
      <c r="M152" s="29">
        <v>326086</v>
      </c>
      <c r="N152" s="30">
        <f t="shared" si="4"/>
        <v>0.50014106708046346</v>
      </c>
      <c r="O152" s="30">
        <f t="shared" si="5"/>
        <v>0.47592966272701065</v>
      </c>
    </row>
    <row r="153" spans="1:15" x14ac:dyDescent="0.2">
      <c r="A153" s="4" t="s">
        <v>308</v>
      </c>
      <c r="B153" s="4" t="s">
        <v>309</v>
      </c>
      <c r="C153" s="5" t="s">
        <v>8</v>
      </c>
      <c r="D153" s="25"/>
      <c r="E153" s="26">
        <v>105065</v>
      </c>
      <c r="F153" s="26">
        <v>197243</v>
      </c>
      <c r="G153" s="26">
        <v>308463</v>
      </c>
      <c r="H153" s="27">
        <f t="shared" si="0"/>
        <v>0.34060811183188905</v>
      </c>
      <c r="I153" s="27">
        <f t="shared" si="1"/>
        <v>0.63943811737550371</v>
      </c>
      <c r="J153" s="28"/>
      <c r="K153" s="26">
        <v>139536</v>
      </c>
      <c r="L153" s="26">
        <v>180694</v>
      </c>
      <c r="M153" s="26">
        <v>325930</v>
      </c>
      <c r="N153" s="27">
        <f t="shared" si="4"/>
        <v>0.42811646672598408</v>
      </c>
      <c r="O153" s="27">
        <f t="shared" si="5"/>
        <v>0.5543951155156015</v>
      </c>
    </row>
    <row r="154" spans="1:15" x14ac:dyDescent="0.2">
      <c r="A154" s="4" t="s">
        <v>310</v>
      </c>
      <c r="B154" s="4" t="s">
        <v>311</v>
      </c>
      <c r="C154" s="5" t="s">
        <v>8</v>
      </c>
      <c r="D154" s="25"/>
      <c r="E154" s="29">
        <v>137165</v>
      </c>
      <c r="F154" s="29">
        <v>160606</v>
      </c>
      <c r="G154" s="29">
        <v>303685</v>
      </c>
      <c r="H154" s="30">
        <f t="shared" si="0"/>
        <v>0.45166866983881326</v>
      </c>
      <c r="I154" s="30">
        <f t="shared" si="1"/>
        <v>0.52885720401073477</v>
      </c>
      <c r="J154" s="28"/>
      <c r="K154" s="29">
        <v>161286</v>
      </c>
      <c r="L154" s="29">
        <v>155210</v>
      </c>
      <c r="M154" s="29">
        <v>322096</v>
      </c>
      <c r="N154" s="30">
        <f t="shared" si="4"/>
        <v>0.50073891013859217</v>
      </c>
      <c r="O154" s="30">
        <f t="shared" si="5"/>
        <v>0.48187496895335552</v>
      </c>
    </row>
    <row r="155" spans="1:15" x14ac:dyDescent="0.2">
      <c r="A155" s="4" t="s">
        <v>312</v>
      </c>
      <c r="B155" s="4" t="s">
        <v>313</v>
      </c>
      <c r="C155" s="8" t="s">
        <v>23</v>
      </c>
      <c r="D155" s="25"/>
      <c r="E155" s="26">
        <v>169702</v>
      </c>
      <c r="F155" s="26">
        <v>119753</v>
      </c>
      <c r="G155" s="26">
        <v>294701</v>
      </c>
      <c r="H155" s="27">
        <f t="shared" si="0"/>
        <v>0.57584466968215242</v>
      </c>
      <c r="I155" s="27">
        <f t="shared" si="1"/>
        <v>0.40635423700632167</v>
      </c>
      <c r="J155" s="28"/>
      <c r="K155" s="26">
        <v>185705</v>
      </c>
      <c r="L155" s="26">
        <v>119094</v>
      </c>
      <c r="M155" s="26">
        <v>309647</v>
      </c>
      <c r="N155" s="27">
        <f t="shared" si="4"/>
        <v>0.59973130693983789</v>
      </c>
      <c r="O155" s="27">
        <f t="shared" si="5"/>
        <v>0.38461215513148844</v>
      </c>
    </row>
    <row r="156" spans="1:15" x14ac:dyDescent="0.2">
      <c r="A156" s="4" t="s">
        <v>314</v>
      </c>
      <c r="B156" s="4" t="s">
        <v>315</v>
      </c>
      <c r="C156" s="5" t="s">
        <v>8</v>
      </c>
      <c r="D156" s="25"/>
      <c r="E156" s="29">
        <v>125036</v>
      </c>
      <c r="F156" s="29">
        <v>202785</v>
      </c>
      <c r="G156" s="29">
        <v>334302</v>
      </c>
      <c r="H156" s="30">
        <f t="shared" si="0"/>
        <v>0.37402109469880529</v>
      </c>
      <c r="I156" s="30">
        <f t="shared" si="1"/>
        <v>0.60659224294201053</v>
      </c>
      <c r="J156" s="28"/>
      <c r="K156" s="29">
        <v>152164</v>
      </c>
      <c r="L156" s="29">
        <v>187626</v>
      </c>
      <c r="M156" s="29">
        <v>345204</v>
      </c>
      <c r="N156" s="30">
        <f t="shared" si="4"/>
        <v>0.44079442880152025</v>
      </c>
      <c r="O156" s="30">
        <f t="shared" si="5"/>
        <v>0.54352209128515316</v>
      </c>
    </row>
    <row r="157" spans="1:15" x14ac:dyDescent="0.2">
      <c r="A157" s="4" t="s">
        <v>316</v>
      </c>
      <c r="B157" s="4" t="s">
        <v>317</v>
      </c>
      <c r="C157" s="8" t="s">
        <v>23</v>
      </c>
      <c r="D157" s="25"/>
      <c r="E157" s="26">
        <v>182021</v>
      </c>
      <c r="F157" s="26">
        <v>111217</v>
      </c>
      <c r="G157" s="26">
        <v>297470</v>
      </c>
      <c r="H157" s="27">
        <f t="shared" si="0"/>
        <v>0.61189699801660669</v>
      </c>
      <c r="I157" s="27">
        <f t="shared" si="1"/>
        <v>0.37387635727972568</v>
      </c>
      <c r="J157" s="28"/>
      <c r="K157" s="26">
        <v>194518</v>
      </c>
      <c r="L157" s="26">
        <v>109940</v>
      </c>
      <c r="M157" s="26">
        <v>307118</v>
      </c>
      <c r="N157" s="27">
        <f t="shared" si="4"/>
        <v>0.63336567703618807</v>
      </c>
      <c r="O157" s="27">
        <f t="shared" si="5"/>
        <v>0.35797315689734888</v>
      </c>
    </row>
    <row r="158" spans="1:15" x14ac:dyDescent="0.2">
      <c r="A158" s="4" t="s">
        <v>318</v>
      </c>
      <c r="B158" s="4" t="s">
        <v>319</v>
      </c>
      <c r="C158" s="5" t="s">
        <v>8</v>
      </c>
      <c r="D158" s="25"/>
      <c r="E158" s="29">
        <v>116324</v>
      </c>
      <c r="F158" s="29">
        <v>154841</v>
      </c>
      <c r="G158" s="29">
        <v>276012</v>
      </c>
      <c r="H158" s="30">
        <f t="shared" si="0"/>
        <v>0.42144544440096809</v>
      </c>
      <c r="I158" s="30">
        <f t="shared" si="1"/>
        <v>0.56099372491051114</v>
      </c>
      <c r="J158" s="28"/>
      <c r="K158" s="29">
        <v>145652</v>
      </c>
      <c r="L158" s="29">
        <v>144955</v>
      </c>
      <c r="M158" s="29">
        <v>293830</v>
      </c>
      <c r="N158" s="30">
        <f t="shared" si="4"/>
        <v>0.49570159616104548</v>
      </c>
      <c r="O158" s="30">
        <f t="shared" si="5"/>
        <v>0.49332947622775075</v>
      </c>
    </row>
    <row r="159" spans="1:15" x14ac:dyDescent="0.2">
      <c r="A159" s="4" t="s">
        <v>320</v>
      </c>
      <c r="B159" s="4" t="s">
        <v>321</v>
      </c>
      <c r="C159" s="5" t="s">
        <v>8</v>
      </c>
      <c r="D159" s="25"/>
      <c r="E159" s="26">
        <v>102534</v>
      </c>
      <c r="F159" s="26">
        <v>179628</v>
      </c>
      <c r="G159" s="26">
        <v>287231</v>
      </c>
      <c r="H159" s="27">
        <f t="shared" si="0"/>
        <v>0.35697400350240749</v>
      </c>
      <c r="I159" s="27">
        <f t="shared" si="1"/>
        <v>0.62537817993183187</v>
      </c>
      <c r="J159" s="28"/>
      <c r="K159" s="26">
        <v>126595</v>
      </c>
      <c r="L159" s="26">
        <v>164895</v>
      </c>
      <c r="M159" s="26">
        <v>294424</v>
      </c>
      <c r="N159" s="27">
        <f t="shared" si="4"/>
        <v>0.42997513789636715</v>
      </c>
      <c r="O159" s="27">
        <f t="shared" si="5"/>
        <v>0.56005964187702084</v>
      </c>
    </row>
    <row r="160" spans="1:15" x14ac:dyDescent="0.2">
      <c r="A160" s="4" t="s">
        <v>322</v>
      </c>
      <c r="B160" s="4" t="s">
        <v>323</v>
      </c>
      <c r="C160" s="5" t="s">
        <v>8</v>
      </c>
      <c r="D160" s="25"/>
      <c r="E160" s="29">
        <v>103103</v>
      </c>
      <c r="F160" s="29">
        <v>170245</v>
      </c>
      <c r="G160" s="29">
        <v>279662</v>
      </c>
      <c r="H160" s="30">
        <f t="shared" si="0"/>
        <v>0.36867003740229276</v>
      </c>
      <c r="I160" s="30">
        <f t="shared" si="1"/>
        <v>0.60875270862684239</v>
      </c>
      <c r="J160" s="28"/>
      <c r="K160" s="29">
        <v>134036</v>
      </c>
      <c r="L160" s="29">
        <v>162956</v>
      </c>
      <c r="M160" s="29">
        <v>300714</v>
      </c>
      <c r="N160" s="30">
        <f t="shared" si="4"/>
        <v>0.44572583916944342</v>
      </c>
      <c r="O160" s="30">
        <f t="shared" si="5"/>
        <v>0.54189695192109444</v>
      </c>
    </row>
    <row r="161" spans="1:15" x14ac:dyDescent="0.2">
      <c r="A161" s="4" t="s">
        <v>324</v>
      </c>
      <c r="B161" s="4" t="s">
        <v>325</v>
      </c>
      <c r="C161" s="5" t="s">
        <v>8</v>
      </c>
      <c r="D161" s="25"/>
      <c r="E161" s="26">
        <v>139300</v>
      </c>
      <c r="F161" s="26">
        <v>196744</v>
      </c>
      <c r="G161" s="26">
        <v>342165</v>
      </c>
      <c r="H161" s="27">
        <f t="shared" si="0"/>
        <v>0.40711352709949877</v>
      </c>
      <c r="I161" s="27">
        <f t="shared" si="1"/>
        <v>0.57499744275422682</v>
      </c>
      <c r="J161" s="28"/>
      <c r="K161" s="26">
        <v>159614</v>
      </c>
      <c r="L161" s="26">
        <v>180400</v>
      </c>
      <c r="M161" s="26">
        <v>342865</v>
      </c>
      <c r="N161" s="27">
        <f t="shared" si="4"/>
        <v>0.46553016493372029</v>
      </c>
      <c r="O161" s="27">
        <f t="shared" si="5"/>
        <v>0.52615460895687804</v>
      </c>
    </row>
    <row r="162" spans="1:15" x14ac:dyDescent="0.2">
      <c r="A162" s="4" t="s">
        <v>326</v>
      </c>
      <c r="B162" s="4" t="s">
        <v>327</v>
      </c>
      <c r="C162" s="5" t="s">
        <v>8</v>
      </c>
      <c r="D162" s="25"/>
      <c r="E162" s="29">
        <v>106371</v>
      </c>
      <c r="F162" s="29">
        <v>172456</v>
      </c>
      <c r="G162" s="29">
        <v>285361</v>
      </c>
      <c r="H162" s="30">
        <f t="shared" si="0"/>
        <v>0.37275941701914417</v>
      </c>
      <c r="I162" s="30">
        <f t="shared" si="1"/>
        <v>0.60434327045391623</v>
      </c>
      <c r="J162" s="28"/>
      <c r="K162" s="29">
        <v>133163</v>
      </c>
      <c r="L162" s="29">
        <v>167842</v>
      </c>
      <c r="M162" s="29">
        <v>305271</v>
      </c>
      <c r="N162" s="30">
        <f t="shared" si="4"/>
        <v>0.43621241454314363</v>
      </c>
      <c r="O162" s="30">
        <f t="shared" si="5"/>
        <v>0.54981311686992873</v>
      </c>
    </row>
    <row r="163" spans="1:15" x14ac:dyDescent="0.2">
      <c r="A163" s="4" t="s">
        <v>328</v>
      </c>
      <c r="B163" s="4" t="s">
        <v>329</v>
      </c>
      <c r="C163" s="8" t="s">
        <v>23</v>
      </c>
      <c r="D163" s="25"/>
      <c r="E163" s="26">
        <v>164902</v>
      </c>
      <c r="F163" s="26">
        <v>92674</v>
      </c>
      <c r="G163" s="26">
        <v>262188</v>
      </c>
      <c r="H163" s="27">
        <f t="shared" si="0"/>
        <v>0.62894564205837034</v>
      </c>
      <c r="I163" s="27">
        <f t="shared" si="1"/>
        <v>0.35346392664805409</v>
      </c>
      <c r="J163" s="28"/>
      <c r="K163" s="26">
        <v>185588</v>
      </c>
      <c r="L163" s="26">
        <v>91870</v>
      </c>
      <c r="M163" s="26">
        <v>279737</v>
      </c>
      <c r="N163" s="27">
        <f t="shared" si="4"/>
        <v>0.66343744302684304</v>
      </c>
      <c r="O163" s="27">
        <f t="shared" si="5"/>
        <v>0.32841561895637689</v>
      </c>
    </row>
    <row r="164" spans="1:15" x14ac:dyDescent="0.2">
      <c r="A164" s="4" t="s">
        <v>330</v>
      </c>
      <c r="B164" s="4" t="s">
        <v>331</v>
      </c>
      <c r="C164" s="5" t="s">
        <v>8</v>
      </c>
      <c r="D164" s="25"/>
      <c r="E164" s="29">
        <v>116465</v>
      </c>
      <c r="F164" s="29">
        <v>171648</v>
      </c>
      <c r="G164" s="29">
        <v>294054</v>
      </c>
      <c r="H164" s="30">
        <f t="shared" si="0"/>
        <v>0.39606670883579209</v>
      </c>
      <c r="I164" s="30">
        <f t="shared" si="1"/>
        <v>0.58372951906792625</v>
      </c>
      <c r="J164" s="28"/>
      <c r="K164" s="29">
        <v>149097</v>
      </c>
      <c r="L164" s="29">
        <v>156720</v>
      </c>
      <c r="M164" s="29">
        <v>309712</v>
      </c>
      <c r="N164" s="30">
        <f t="shared" si="4"/>
        <v>0.48140530557421091</v>
      </c>
      <c r="O164" s="30">
        <f t="shared" si="5"/>
        <v>0.50601849460143622</v>
      </c>
    </row>
    <row r="165" spans="1:15" x14ac:dyDescent="0.2">
      <c r="A165" s="4" t="s">
        <v>332</v>
      </c>
      <c r="B165" s="4" t="s">
        <v>333</v>
      </c>
      <c r="C165" s="5" t="s">
        <v>8</v>
      </c>
      <c r="D165" s="25"/>
      <c r="E165" s="26">
        <v>123436</v>
      </c>
      <c r="F165" s="26">
        <v>173433</v>
      </c>
      <c r="G165" s="26">
        <v>303390</v>
      </c>
      <c r="H165" s="27">
        <f t="shared" si="0"/>
        <v>0.40685586209169716</v>
      </c>
      <c r="I165" s="27">
        <f t="shared" si="1"/>
        <v>0.5716503510333234</v>
      </c>
      <c r="J165" s="28"/>
      <c r="K165" s="26">
        <v>145776</v>
      </c>
      <c r="L165" s="26">
        <v>166069</v>
      </c>
      <c r="M165" s="26">
        <v>315274</v>
      </c>
      <c r="N165" s="27">
        <f t="shared" si="4"/>
        <v>0.46237875625646263</v>
      </c>
      <c r="O165" s="27">
        <f t="shared" si="5"/>
        <v>0.52674499007212772</v>
      </c>
    </row>
    <row r="166" spans="1:15" x14ac:dyDescent="0.2">
      <c r="A166" s="4" t="s">
        <v>334</v>
      </c>
      <c r="B166" s="4" t="s">
        <v>335</v>
      </c>
      <c r="C166" s="5" t="s">
        <v>8</v>
      </c>
      <c r="D166" s="25"/>
      <c r="E166" s="29">
        <v>72699</v>
      </c>
      <c r="F166" s="29">
        <v>184288</v>
      </c>
      <c r="G166" s="29">
        <v>263027</v>
      </c>
      <c r="H166" s="30">
        <f t="shared" si="0"/>
        <v>0.27639367821554439</v>
      </c>
      <c r="I166" s="30">
        <f t="shared" si="1"/>
        <v>0.7006428997783497</v>
      </c>
      <c r="J166" s="28"/>
      <c r="K166" s="29">
        <v>87634</v>
      </c>
      <c r="L166" s="29">
        <v>189890</v>
      </c>
      <c r="M166" s="29">
        <v>282699</v>
      </c>
      <c r="N166" s="30">
        <f t="shared" si="4"/>
        <v>0.30999048457900452</v>
      </c>
      <c r="O166" s="30">
        <f t="shared" si="5"/>
        <v>0.67170382633118619</v>
      </c>
    </row>
    <row r="167" spans="1:15" x14ac:dyDescent="0.2">
      <c r="A167" s="4" t="s">
        <v>336</v>
      </c>
      <c r="B167" s="4" t="s">
        <v>337</v>
      </c>
      <c r="C167" s="5" t="s">
        <v>8</v>
      </c>
      <c r="D167" s="25"/>
      <c r="E167" s="26">
        <v>124370</v>
      </c>
      <c r="F167" s="26">
        <v>163082</v>
      </c>
      <c r="G167" s="26">
        <v>294487</v>
      </c>
      <c r="H167" s="27">
        <f t="shared" si="0"/>
        <v>0.4223276409484969</v>
      </c>
      <c r="I167" s="27">
        <f t="shared" si="1"/>
        <v>0.55378335885794616</v>
      </c>
      <c r="J167" s="28"/>
      <c r="K167" s="26">
        <v>145750</v>
      </c>
      <c r="L167" s="26">
        <v>170059</v>
      </c>
      <c r="M167" s="26">
        <v>322079</v>
      </c>
      <c r="N167" s="27">
        <f t="shared" si="4"/>
        <v>0.45252872742401706</v>
      </c>
      <c r="O167" s="27">
        <f t="shared" si="5"/>
        <v>0.52800399901887429</v>
      </c>
    </row>
    <row r="168" spans="1:15" x14ac:dyDescent="0.2">
      <c r="A168" s="4" t="s">
        <v>338</v>
      </c>
      <c r="B168" s="4" t="s">
        <v>339</v>
      </c>
      <c r="C168" s="5" t="s">
        <v>8</v>
      </c>
      <c r="D168" s="25"/>
      <c r="E168" s="29">
        <v>146406</v>
      </c>
      <c r="F168" s="29">
        <v>177886</v>
      </c>
      <c r="G168" s="29">
        <v>330486</v>
      </c>
      <c r="H168" s="30">
        <f t="shared" si="0"/>
        <v>0.44300212414444184</v>
      </c>
      <c r="I168" s="30">
        <f t="shared" si="1"/>
        <v>0.53825578088027937</v>
      </c>
      <c r="J168" s="28"/>
      <c r="K168" s="29">
        <v>168907</v>
      </c>
      <c r="L168" s="29">
        <v>172831</v>
      </c>
      <c r="M168" s="29">
        <v>346297</v>
      </c>
      <c r="N168" s="30">
        <f t="shared" si="4"/>
        <v>0.48775184307112102</v>
      </c>
      <c r="O168" s="30">
        <f t="shared" si="5"/>
        <v>0.49908315694331745</v>
      </c>
    </row>
    <row r="169" spans="1:15" x14ac:dyDescent="0.2">
      <c r="A169" s="4" t="s">
        <v>340</v>
      </c>
      <c r="B169" s="4" t="s">
        <v>341</v>
      </c>
      <c r="C169" s="5" t="s">
        <v>8</v>
      </c>
      <c r="D169" s="25"/>
      <c r="E169" s="26">
        <v>96433</v>
      </c>
      <c r="F169" s="26">
        <v>164553</v>
      </c>
      <c r="G169" s="26">
        <v>267116</v>
      </c>
      <c r="H169" s="27">
        <f t="shared" si="0"/>
        <v>0.36101543898530974</v>
      </c>
      <c r="I169" s="27">
        <f t="shared" si="1"/>
        <v>0.61603572979529497</v>
      </c>
      <c r="J169" s="28"/>
      <c r="K169" s="26">
        <v>112474</v>
      </c>
      <c r="L169" s="26">
        <v>166876</v>
      </c>
      <c r="M169" s="26">
        <v>284727</v>
      </c>
      <c r="N169" s="27">
        <f t="shared" si="4"/>
        <v>0.39502400545083538</v>
      </c>
      <c r="O169" s="27">
        <f t="shared" si="5"/>
        <v>0.58609123827385534</v>
      </c>
    </row>
    <row r="170" spans="1:15" x14ac:dyDescent="0.2">
      <c r="A170" s="4" t="s">
        <v>342</v>
      </c>
      <c r="B170" s="4" t="s">
        <v>343</v>
      </c>
      <c r="C170" s="5" t="s">
        <v>8</v>
      </c>
      <c r="D170" s="25"/>
      <c r="E170" s="29">
        <v>95273</v>
      </c>
      <c r="F170" s="29">
        <v>197074</v>
      </c>
      <c r="G170" s="29">
        <v>296791</v>
      </c>
      <c r="H170" s="30">
        <f t="shared" si="0"/>
        <v>0.3210104079975471</v>
      </c>
      <c r="I170" s="30">
        <f t="shared" si="1"/>
        <v>0.66401609213217383</v>
      </c>
      <c r="J170" s="28"/>
      <c r="K170" s="29">
        <v>111030</v>
      </c>
      <c r="L170" s="29">
        <v>185529</v>
      </c>
      <c r="M170" s="29">
        <v>301253</v>
      </c>
      <c r="N170" s="30">
        <f t="shared" si="4"/>
        <v>0.36856064503921954</v>
      </c>
      <c r="O170" s="30">
        <f t="shared" si="5"/>
        <v>0.61585776739152809</v>
      </c>
    </row>
    <row r="171" spans="1:15" x14ac:dyDescent="0.2">
      <c r="A171" s="4" t="s">
        <v>344</v>
      </c>
      <c r="B171" s="4" t="s">
        <v>345</v>
      </c>
      <c r="C171" s="5" t="s">
        <v>8</v>
      </c>
      <c r="D171" s="25"/>
      <c r="E171" s="26">
        <v>103432</v>
      </c>
      <c r="F171" s="26">
        <v>186207</v>
      </c>
      <c r="G171" s="26">
        <v>294280</v>
      </c>
      <c r="H171" s="27">
        <f t="shared" si="0"/>
        <v>0.35147478591817316</v>
      </c>
      <c r="I171" s="27">
        <f t="shared" si="1"/>
        <v>0.63275451950523309</v>
      </c>
      <c r="J171" s="28"/>
      <c r="K171" s="26">
        <v>111139</v>
      </c>
      <c r="L171" s="26">
        <v>183813</v>
      </c>
      <c r="M171" s="26">
        <v>299109</v>
      </c>
      <c r="N171" s="27">
        <f t="shared" si="4"/>
        <v>0.37156688698768675</v>
      </c>
      <c r="O171" s="27">
        <f t="shared" si="5"/>
        <v>0.61453516945327624</v>
      </c>
    </row>
    <row r="172" spans="1:15" x14ac:dyDescent="0.2">
      <c r="A172" s="4" t="s">
        <v>346</v>
      </c>
      <c r="B172" s="4" t="s">
        <v>347</v>
      </c>
      <c r="C172" s="8" t="s">
        <v>23</v>
      </c>
      <c r="D172" s="25"/>
      <c r="E172" s="29">
        <v>183015</v>
      </c>
      <c r="F172" s="29">
        <v>140539</v>
      </c>
      <c r="G172" s="29">
        <v>328389</v>
      </c>
      <c r="H172" s="30">
        <f t="shared" si="0"/>
        <v>0.5573116030074089</v>
      </c>
      <c r="I172" s="30">
        <f t="shared" si="1"/>
        <v>0.42796500491794792</v>
      </c>
      <c r="J172" s="28"/>
      <c r="K172" s="29">
        <v>193236</v>
      </c>
      <c r="L172" s="29">
        <v>147121</v>
      </c>
      <c r="M172" s="29">
        <v>343778</v>
      </c>
      <c r="N172" s="30">
        <f t="shared" si="4"/>
        <v>0.56209530569146371</v>
      </c>
      <c r="O172" s="30">
        <f t="shared" si="5"/>
        <v>0.42795350487814809</v>
      </c>
    </row>
    <row r="173" spans="1:15" x14ac:dyDescent="0.2">
      <c r="A173" s="4" t="s">
        <v>348</v>
      </c>
      <c r="B173" s="4" t="s">
        <v>349</v>
      </c>
      <c r="C173" s="5" t="s">
        <v>8</v>
      </c>
      <c r="D173" s="25"/>
      <c r="E173" s="26">
        <v>108328</v>
      </c>
      <c r="F173" s="26">
        <v>197131</v>
      </c>
      <c r="G173" s="26">
        <v>311035</v>
      </c>
      <c r="H173" s="27">
        <f t="shared" si="0"/>
        <v>0.34828234764576332</v>
      </c>
      <c r="I173" s="27">
        <f t="shared" si="1"/>
        <v>0.6337904094394522</v>
      </c>
      <c r="J173" s="28"/>
      <c r="K173" s="26">
        <v>115487</v>
      </c>
      <c r="L173" s="26">
        <v>191855</v>
      </c>
      <c r="M173" s="26">
        <v>312017</v>
      </c>
      <c r="N173" s="27">
        <f t="shared" si="4"/>
        <v>0.37013047366008905</v>
      </c>
      <c r="O173" s="27">
        <f t="shared" si="5"/>
        <v>0.61488636837095412</v>
      </c>
    </row>
    <row r="174" spans="1:15" x14ac:dyDescent="0.2">
      <c r="A174" s="4" t="s">
        <v>350</v>
      </c>
      <c r="B174" s="4" t="s">
        <v>351</v>
      </c>
      <c r="C174" s="5" t="s">
        <v>8</v>
      </c>
      <c r="D174" s="25"/>
      <c r="E174" s="29">
        <v>60785</v>
      </c>
      <c r="F174" s="29">
        <v>196167</v>
      </c>
      <c r="G174" s="29">
        <v>261483</v>
      </c>
      <c r="H174" s="30">
        <f t="shared" si="0"/>
        <v>0.23246253102496148</v>
      </c>
      <c r="I174" s="30">
        <f t="shared" si="1"/>
        <v>0.75020938263672976</v>
      </c>
      <c r="J174" s="28"/>
      <c r="K174" s="29">
        <v>82637</v>
      </c>
      <c r="L174" s="29">
        <v>174307</v>
      </c>
      <c r="M174" s="29">
        <v>261555</v>
      </c>
      <c r="N174" s="30">
        <f t="shared" si="4"/>
        <v>0.31594502112366424</v>
      </c>
      <c r="O174" s="30">
        <f t="shared" si="5"/>
        <v>0.66642579954502879</v>
      </c>
    </row>
    <row r="175" spans="1:15" x14ac:dyDescent="0.2">
      <c r="A175" s="4" t="s">
        <v>352</v>
      </c>
      <c r="B175" s="4" t="s">
        <v>353</v>
      </c>
      <c r="C175" s="5" t="s">
        <v>8</v>
      </c>
      <c r="D175" s="25"/>
      <c r="E175" s="26">
        <v>128537</v>
      </c>
      <c r="F175" s="26">
        <v>170076</v>
      </c>
      <c r="G175" s="26">
        <v>304861</v>
      </c>
      <c r="H175" s="27">
        <f t="shared" si="0"/>
        <v>0.42162493726649192</v>
      </c>
      <c r="I175" s="27">
        <f t="shared" si="1"/>
        <v>0.55788047667625573</v>
      </c>
      <c r="J175" s="28"/>
      <c r="K175" s="26">
        <v>138456</v>
      </c>
      <c r="L175" s="26">
        <v>165837</v>
      </c>
      <c r="M175" s="26">
        <v>308776</v>
      </c>
      <c r="N175" s="27">
        <f t="shared" si="4"/>
        <v>0.44840272560043526</v>
      </c>
      <c r="O175" s="27">
        <f t="shared" si="5"/>
        <v>0.53707865896313189</v>
      </c>
    </row>
    <row r="176" spans="1:15" x14ac:dyDescent="0.2">
      <c r="A176" s="4" t="s">
        <v>354</v>
      </c>
      <c r="B176" s="4" t="s">
        <v>355</v>
      </c>
      <c r="C176" s="5" t="s">
        <v>8</v>
      </c>
      <c r="D176" s="25"/>
      <c r="E176" s="29">
        <v>89418</v>
      </c>
      <c r="F176" s="29">
        <v>235877</v>
      </c>
      <c r="G176" s="29">
        <v>332923</v>
      </c>
      <c r="H176" s="30">
        <f t="shared" si="0"/>
        <v>0.26858462767666996</v>
      </c>
      <c r="I176" s="30">
        <f t="shared" si="1"/>
        <v>0.70850316739906827</v>
      </c>
      <c r="J176" s="28"/>
      <c r="K176" s="29">
        <v>81515</v>
      </c>
      <c r="L176" s="29">
        <v>233789</v>
      </c>
      <c r="M176" s="29">
        <v>321682</v>
      </c>
      <c r="N176" s="30">
        <f t="shared" si="4"/>
        <v>0.25340242848527428</v>
      </c>
      <c r="O176" s="30">
        <f t="shared" si="5"/>
        <v>0.7267705373629858</v>
      </c>
    </row>
    <row r="177" spans="1:15" x14ac:dyDescent="0.2">
      <c r="A177" s="4" t="s">
        <v>356</v>
      </c>
      <c r="B177" s="4" t="s">
        <v>357</v>
      </c>
      <c r="C177" s="8" t="s">
        <v>23</v>
      </c>
      <c r="D177" s="25"/>
      <c r="E177" s="26">
        <v>248982</v>
      </c>
      <c r="F177" s="26">
        <v>74893</v>
      </c>
      <c r="G177" s="26">
        <v>328306</v>
      </c>
      <c r="H177" s="27">
        <f t="shared" si="0"/>
        <v>0.75838394668388642</v>
      </c>
      <c r="I177" s="27">
        <f t="shared" si="1"/>
        <v>0.22811949827295266</v>
      </c>
      <c r="J177" s="28"/>
      <c r="K177" s="26">
        <v>235554</v>
      </c>
      <c r="L177" s="26">
        <v>81703</v>
      </c>
      <c r="M177" s="26">
        <v>321114</v>
      </c>
      <c r="N177" s="27">
        <f t="shared" si="4"/>
        <v>0.73355257011528618</v>
      </c>
      <c r="O177" s="27">
        <f t="shared" si="5"/>
        <v>0.25443611925982673</v>
      </c>
    </row>
    <row r="178" spans="1:15" x14ac:dyDescent="0.2">
      <c r="A178" s="4" t="s">
        <v>358</v>
      </c>
      <c r="B178" s="13" t="s">
        <v>359</v>
      </c>
      <c r="C178" s="5" t="s">
        <v>8</v>
      </c>
      <c r="D178" s="25"/>
      <c r="E178" s="29">
        <v>107611</v>
      </c>
      <c r="F178" s="29">
        <v>220490</v>
      </c>
      <c r="G178" s="29">
        <v>333573</v>
      </c>
      <c r="H178" s="30">
        <f t="shared" si="0"/>
        <v>0.3226010498451613</v>
      </c>
      <c r="I178" s="30">
        <f t="shared" si="1"/>
        <v>0.66099474477850428</v>
      </c>
      <c r="J178" s="28"/>
      <c r="K178" s="29">
        <v>111831</v>
      </c>
      <c r="L178" s="29">
        <v>210951</v>
      </c>
      <c r="M178" s="29">
        <v>328353</v>
      </c>
      <c r="N178" s="30">
        <f t="shared" si="4"/>
        <v>0.3405816301358599</v>
      </c>
      <c r="O178" s="30">
        <f t="shared" si="5"/>
        <v>0.64245187344108323</v>
      </c>
    </row>
    <row r="179" spans="1:15" x14ac:dyDescent="0.2">
      <c r="A179" s="4" t="s">
        <v>360</v>
      </c>
      <c r="B179" s="4" t="s">
        <v>361</v>
      </c>
      <c r="C179" s="5" t="s">
        <v>8</v>
      </c>
      <c r="D179" s="25"/>
      <c r="E179" s="26">
        <v>128612</v>
      </c>
      <c r="F179" s="26">
        <v>191416</v>
      </c>
      <c r="G179" s="26">
        <v>324250</v>
      </c>
      <c r="H179" s="27">
        <f t="shared" si="0"/>
        <v>0.39664456437933693</v>
      </c>
      <c r="I179" s="27">
        <f t="shared" si="1"/>
        <v>0.59033461835003853</v>
      </c>
      <c r="J179" s="28"/>
      <c r="K179" s="26">
        <v>126899</v>
      </c>
      <c r="L179" s="26">
        <v>187020</v>
      </c>
      <c r="M179" s="26">
        <v>317749</v>
      </c>
      <c r="N179" s="27">
        <f t="shared" si="4"/>
        <v>0.39936868408712539</v>
      </c>
      <c r="O179" s="27">
        <f t="shared" si="5"/>
        <v>0.58857777679866818</v>
      </c>
    </row>
    <row r="180" spans="1:15" x14ac:dyDescent="0.2">
      <c r="A180" s="4" t="s">
        <v>362</v>
      </c>
      <c r="B180" s="4" t="s">
        <v>363</v>
      </c>
      <c r="C180" s="5" t="s">
        <v>8</v>
      </c>
      <c r="D180" s="25"/>
      <c r="E180" s="29">
        <v>124102</v>
      </c>
      <c r="F180" s="29">
        <v>201058</v>
      </c>
      <c r="G180" s="29">
        <v>329531</v>
      </c>
      <c r="H180" s="30">
        <f t="shared" si="0"/>
        <v>0.3766018978487608</v>
      </c>
      <c r="I180" s="30">
        <f t="shared" si="1"/>
        <v>0.61013379621340635</v>
      </c>
      <c r="J180" s="28"/>
      <c r="K180" s="29">
        <v>124119</v>
      </c>
      <c r="L180" s="29">
        <v>209705</v>
      </c>
      <c r="M180" s="29">
        <v>338332</v>
      </c>
      <c r="N180" s="30">
        <f t="shared" si="4"/>
        <v>0.36685563292860268</v>
      </c>
      <c r="O180" s="30">
        <f t="shared" si="5"/>
        <v>0.61982017663123801</v>
      </c>
    </row>
    <row r="181" spans="1:15" x14ac:dyDescent="0.2">
      <c r="A181" s="4" t="s">
        <v>364</v>
      </c>
      <c r="B181" s="4" t="s">
        <v>365</v>
      </c>
      <c r="C181" s="5" t="s">
        <v>8</v>
      </c>
      <c r="D181" s="25"/>
      <c r="E181" s="26">
        <v>110416</v>
      </c>
      <c r="F181" s="26">
        <v>228528</v>
      </c>
      <c r="G181" s="26">
        <v>345482</v>
      </c>
      <c r="H181" s="27">
        <f t="shared" si="0"/>
        <v>0.31959986337927881</v>
      </c>
      <c r="I181" s="27">
        <f t="shared" si="1"/>
        <v>0.66147585112972596</v>
      </c>
      <c r="J181" s="28"/>
      <c r="K181" s="26">
        <v>103071</v>
      </c>
      <c r="L181" s="26">
        <v>225094</v>
      </c>
      <c r="M181" s="26">
        <v>333531</v>
      </c>
      <c r="N181" s="27">
        <f t="shared" si="4"/>
        <v>0.30902974536100092</v>
      </c>
      <c r="O181" s="27">
        <f t="shared" si="5"/>
        <v>0.67488179509550839</v>
      </c>
    </row>
    <row r="182" spans="1:15" x14ac:dyDescent="0.2">
      <c r="A182" s="4" t="s">
        <v>366</v>
      </c>
      <c r="B182" s="4" t="s">
        <v>367</v>
      </c>
      <c r="C182" s="8" t="s">
        <v>23</v>
      </c>
      <c r="D182" s="25"/>
      <c r="E182" s="29">
        <v>213423</v>
      </c>
      <c r="F182" s="29">
        <v>114339</v>
      </c>
      <c r="G182" s="29">
        <v>333678</v>
      </c>
      <c r="H182" s="30">
        <f t="shared" si="0"/>
        <v>0.63960764569435202</v>
      </c>
      <c r="I182" s="30">
        <f t="shared" si="1"/>
        <v>0.34266268678186756</v>
      </c>
      <c r="J182" s="28"/>
      <c r="K182" s="29">
        <v>213130</v>
      </c>
      <c r="L182" s="29">
        <v>112067</v>
      </c>
      <c r="M182" s="29">
        <v>332362</v>
      </c>
      <c r="N182" s="30">
        <f t="shared" si="4"/>
        <v>0.64125862764094577</v>
      </c>
      <c r="O182" s="30">
        <f t="shared" si="5"/>
        <v>0.33718355287307211</v>
      </c>
    </row>
    <row r="183" spans="1:15" x14ac:dyDescent="0.2">
      <c r="A183" s="4" t="s">
        <v>368</v>
      </c>
      <c r="B183" s="4" t="s">
        <v>369</v>
      </c>
      <c r="C183" s="8" t="s">
        <v>23</v>
      </c>
      <c r="D183" s="25"/>
      <c r="E183" s="26">
        <v>199549</v>
      </c>
      <c r="F183" s="26">
        <v>133195</v>
      </c>
      <c r="G183" s="26">
        <v>339921</v>
      </c>
      <c r="H183" s="27">
        <f t="shared" si="0"/>
        <v>0.58704522521409386</v>
      </c>
      <c r="I183" s="27">
        <f t="shared" si="1"/>
        <v>0.39184104541937687</v>
      </c>
      <c r="J183" s="28"/>
      <c r="K183" s="26">
        <v>200553</v>
      </c>
      <c r="L183" s="26">
        <v>124192</v>
      </c>
      <c r="M183" s="26">
        <v>333290</v>
      </c>
      <c r="N183" s="27">
        <f t="shared" si="4"/>
        <v>0.60173722583935907</v>
      </c>
      <c r="O183" s="27">
        <f t="shared" si="5"/>
        <v>0.37262444117735305</v>
      </c>
    </row>
    <row r="184" spans="1:15" x14ac:dyDescent="0.2">
      <c r="A184" s="4" t="s">
        <v>370</v>
      </c>
      <c r="B184" s="4" t="s">
        <v>371</v>
      </c>
      <c r="C184" s="8" t="s">
        <v>23</v>
      </c>
      <c r="D184" s="25"/>
      <c r="E184" s="29">
        <v>189461</v>
      </c>
      <c r="F184" s="29">
        <v>137869</v>
      </c>
      <c r="G184" s="29">
        <v>332925</v>
      </c>
      <c r="H184" s="30">
        <f t="shared" si="0"/>
        <v>0.56908012315085976</v>
      </c>
      <c r="I184" s="30">
        <f t="shared" si="1"/>
        <v>0.41411429000525646</v>
      </c>
      <c r="J184" s="28"/>
      <c r="K184" s="29">
        <v>188491</v>
      </c>
      <c r="L184" s="29">
        <v>126175</v>
      </c>
      <c r="M184" s="29">
        <v>320411</v>
      </c>
      <c r="N184" s="30">
        <f t="shared" si="4"/>
        <v>0.58827880441058511</v>
      </c>
      <c r="O184" s="30">
        <f t="shared" si="5"/>
        <v>0.3937910995565071</v>
      </c>
    </row>
    <row r="185" spans="1:15" x14ac:dyDescent="0.2">
      <c r="A185" s="4" t="s">
        <v>372</v>
      </c>
      <c r="B185" s="4" t="s">
        <v>373</v>
      </c>
      <c r="C185" s="8" t="s">
        <v>23</v>
      </c>
      <c r="D185" s="25"/>
      <c r="E185" s="26">
        <v>211895</v>
      </c>
      <c r="F185" s="26">
        <v>152845</v>
      </c>
      <c r="G185" s="26">
        <v>370160</v>
      </c>
      <c r="H185" s="27">
        <f t="shared" si="0"/>
        <v>0.57244164685541388</v>
      </c>
      <c r="I185" s="27">
        <f t="shared" si="1"/>
        <v>0.41291603630862328</v>
      </c>
      <c r="J185" s="28"/>
      <c r="K185" s="26">
        <v>219573</v>
      </c>
      <c r="L185" s="26">
        <v>137933</v>
      </c>
      <c r="M185" s="26">
        <v>362027</v>
      </c>
      <c r="N185" s="27">
        <f t="shared" si="4"/>
        <v>0.60651001168421137</v>
      </c>
      <c r="O185" s="27">
        <f t="shared" si="5"/>
        <v>0.38100196946636578</v>
      </c>
    </row>
    <row r="186" spans="1:15" x14ac:dyDescent="0.2">
      <c r="A186" s="4" t="s">
        <v>374</v>
      </c>
      <c r="B186" s="4" t="s">
        <v>375</v>
      </c>
      <c r="C186" s="8" t="s">
        <v>23</v>
      </c>
      <c r="D186" s="25"/>
      <c r="E186" s="29">
        <v>235984</v>
      </c>
      <c r="F186" s="29">
        <v>119934</v>
      </c>
      <c r="G186" s="29">
        <v>362013</v>
      </c>
      <c r="H186" s="30">
        <f t="shared" si="0"/>
        <v>0.65186609320659761</v>
      </c>
      <c r="I186" s="30">
        <f t="shared" si="1"/>
        <v>0.33129749484134546</v>
      </c>
      <c r="J186" s="28"/>
      <c r="K186" s="29">
        <v>230731</v>
      </c>
      <c r="L186" s="29">
        <v>111908</v>
      </c>
      <c r="M186" s="29">
        <v>348496</v>
      </c>
      <c r="N186" s="30">
        <f t="shared" si="4"/>
        <v>0.66207646572700973</v>
      </c>
      <c r="O186" s="30">
        <f t="shared" si="5"/>
        <v>0.3211170286029108</v>
      </c>
    </row>
    <row r="187" spans="1:15" x14ac:dyDescent="0.2">
      <c r="A187" s="4" t="s">
        <v>376</v>
      </c>
      <c r="B187" s="4" t="s">
        <v>377</v>
      </c>
      <c r="C187" s="8" t="s">
        <v>23</v>
      </c>
      <c r="D187" s="25"/>
      <c r="E187" s="26">
        <v>212003</v>
      </c>
      <c r="F187" s="26">
        <v>169966</v>
      </c>
      <c r="G187" s="26">
        <v>387259</v>
      </c>
      <c r="H187" s="27">
        <f t="shared" si="0"/>
        <v>0.54744499159477245</v>
      </c>
      <c r="I187" s="27">
        <f t="shared" si="1"/>
        <v>0.43889489979574392</v>
      </c>
      <c r="J187" s="28"/>
      <c r="K187" s="26">
        <v>212823</v>
      </c>
      <c r="L187" s="26">
        <v>154833</v>
      </c>
      <c r="M187" s="26">
        <v>373809</v>
      </c>
      <c r="N187" s="27">
        <f t="shared" si="4"/>
        <v>0.56933621180870442</v>
      </c>
      <c r="O187" s="27">
        <f t="shared" si="5"/>
        <v>0.41420351034886799</v>
      </c>
    </row>
    <row r="188" spans="1:15" x14ac:dyDescent="0.2">
      <c r="A188" s="4" t="s">
        <v>378</v>
      </c>
      <c r="B188" s="4" t="s">
        <v>379</v>
      </c>
      <c r="C188" s="8" t="s">
        <v>23</v>
      </c>
      <c r="D188" s="25"/>
      <c r="E188" s="29">
        <v>233382</v>
      </c>
      <c r="F188" s="29">
        <v>44275</v>
      </c>
      <c r="G188" s="29">
        <v>283031</v>
      </c>
      <c r="H188" s="30">
        <f t="shared" si="0"/>
        <v>0.82458105295886319</v>
      </c>
      <c r="I188" s="30">
        <f t="shared" si="1"/>
        <v>0.15643162763089555</v>
      </c>
      <c r="J188" s="28"/>
      <c r="K188" s="29">
        <v>214011</v>
      </c>
      <c r="L188" s="29">
        <v>43558</v>
      </c>
      <c r="M188" s="29">
        <v>261402</v>
      </c>
      <c r="N188" s="30">
        <f t="shared" si="4"/>
        <v>0.8187045240663805</v>
      </c>
      <c r="O188" s="30">
        <f t="shared" si="5"/>
        <v>0.1666322369377434</v>
      </c>
    </row>
    <row r="189" spans="1:15" x14ac:dyDescent="0.2">
      <c r="A189" s="4" t="s">
        <v>380</v>
      </c>
      <c r="B189" s="4" t="s">
        <v>381</v>
      </c>
      <c r="C189" s="8" t="s">
        <v>23</v>
      </c>
      <c r="D189" s="25"/>
      <c r="E189" s="26">
        <v>213364</v>
      </c>
      <c r="F189" s="26">
        <v>150825</v>
      </c>
      <c r="G189" s="26">
        <v>369239</v>
      </c>
      <c r="H189" s="27">
        <f t="shared" si="0"/>
        <v>0.57784795213940021</v>
      </c>
      <c r="I189" s="27">
        <f t="shared" si="1"/>
        <v>0.40847526940545281</v>
      </c>
      <c r="J189" s="28"/>
      <c r="K189" s="26">
        <v>205644</v>
      </c>
      <c r="L189" s="26">
        <v>144128</v>
      </c>
      <c r="M189" s="26">
        <v>355472</v>
      </c>
      <c r="N189" s="27">
        <f t="shared" si="4"/>
        <v>0.57850969977944822</v>
      </c>
      <c r="O189" s="27">
        <f t="shared" si="5"/>
        <v>0.40545528199126796</v>
      </c>
    </row>
    <row r="190" spans="1:15" x14ac:dyDescent="0.2">
      <c r="A190" s="4" t="s">
        <v>382</v>
      </c>
      <c r="B190" s="4" t="s">
        <v>383</v>
      </c>
      <c r="C190" s="8" t="s">
        <v>23</v>
      </c>
      <c r="D190" s="25"/>
      <c r="E190" s="29">
        <v>212701</v>
      </c>
      <c r="F190" s="29">
        <v>165212</v>
      </c>
      <c r="G190" s="29">
        <v>382989</v>
      </c>
      <c r="H190" s="30">
        <f t="shared" si="0"/>
        <v>0.55537104198815113</v>
      </c>
      <c r="I190" s="30">
        <f t="shared" si="1"/>
        <v>0.43137531365130594</v>
      </c>
      <c r="J190" s="28"/>
      <c r="K190" s="29">
        <v>219141</v>
      </c>
      <c r="L190" s="29">
        <v>154059</v>
      </c>
      <c r="M190" s="29">
        <v>379234</v>
      </c>
      <c r="N190" s="30">
        <f t="shared" si="4"/>
        <v>0.57785166941782651</v>
      </c>
      <c r="O190" s="30">
        <f t="shared" si="5"/>
        <v>0.40623730994583818</v>
      </c>
    </row>
    <row r="191" spans="1:15" x14ac:dyDescent="0.2">
      <c r="A191" s="4" t="s">
        <v>384</v>
      </c>
      <c r="B191" s="4" t="s">
        <v>385</v>
      </c>
      <c r="C191" s="5" t="s">
        <v>8</v>
      </c>
      <c r="D191" s="25"/>
      <c r="E191" s="26">
        <v>134072</v>
      </c>
      <c r="F191" s="26">
        <v>214704</v>
      </c>
      <c r="G191" s="26">
        <v>355614</v>
      </c>
      <c r="H191" s="27">
        <f t="shared" si="0"/>
        <v>0.37701552807257305</v>
      </c>
      <c r="I191" s="27">
        <f t="shared" si="1"/>
        <v>0.60375575764733669</v>
      </c>
      <c r="J191" s="28"/>
      <c r="K191" s="26">
        <v>134591</v>
      </c>
      <c r="L191" s="26">
        <v>208958</v>
      </c>
      <c r="M191" s="26">
        <v>350766</v>
      </c>
      <c r="N191" s="27">
        <f t="shared" si="4"/>
        <v>0.38370594641441874</v>
      </c>
      <c r="O191" s="27">
        <f t="shared" si="5"/>
        <v>0.59571908337752233</v>
      </c>
    </row>
    <row r="192" spans="1:15" x14ac:dyDescent="0.2">
      <c r="A192" s="4" t="s">
        <v>386</v>
      </c>
      <c r="B192" s="4" t="s">
        <v>387</v>
      </c>
      <c r="C192" s="8" t="s">
        <v>23</v>
      </c>
      <c r="D192" s="25"/>
      <c r="E192" s="29">
        <v>195114</v>
      </c>
      <c r="F192" s="29">
        <v>108261</v>
      </c>
      <c r="G192" s="29">
        <v>309437</v>
      </c>
      <c r="H192" s="30">
        <f t="shared" si="0"/>
        <v>0.63054515135552636</v>
      </c>
      <c r="I192" s="30">
        <f t="shared" si="1"/>
        <v>0.34986443120893751</v>
      </c>
      <c r="J192" s="28"/>
      <c r="K192" s="29">
        <v>185327</v>
      </c>
      <c r="L192" s="29">
        <v>114710</v>
      </c>
      <c r="M192" s="29">
        <v>306022</v>
      </c>
      <c r="N192" s="30">
        <f t="shared" si="4"/>
        <v>0.60560025096234915</v>
      </c>
      <c r="O192" s="30">
        <f t="shared" si="5"/>
        <v>0.3748423315970747</v>
      </c>
    </row>
    <row r="193" spans="1:15" x14ac:dyDescent="0.2">
      <c r="A193" s="4" t="s">
        <v>388</v>
      </c>
      <c r="B193" s="4" t="s">
        <v>389</v>
      </c>
      <c r="C193" s="8" t="s">
        <v>23</v>
      </c>
      <c r="D193" s="25"/>
      <c r="E193" s="26">
        <v>203772</v>
      </c>
      <c r="F193" s="26">
        <v>124541</v>
      </c>
      <c r="G193" s="26">
        <v>335690</v>
      </c>
      <c r="H193" s="27">
        <f t="shared" si="0"/>
        <v>0.60702433793082899</v>
      </c>
      <c r="I193" s="27">
        <f t="shared" si="1"/>
        <v>0.37100002978938901</v>
      </c>
      <c r="J193" s="28"/>
      <c r="K193" s="26">
        <v>196967</v>
      </c>
      <c r="L193" s="26">
        <v>124481</v>
      </c>
      <c r="M193" s="26">
        <v>327633</v>
      </c>
      <c r="N193" s="27">
        <f t="shared" si="4"/>
        <v>0.60118181013512073</v>
      </c>
      <c r="O193" s="27">
        <f t="shared" si="5"/>
        <v>0.3799403600980365</v>
      </c>
    </row>
    <row r="194" spans="1:15" x14ac:dyDescent="0.2">
      <c r="A194" s="4" t="s">
        <v>390</v>
      </c>
      <c r="B194" s="4" t="s">
        <v>391</v>
      </c>
      <c r="C194" s="8" t="s">
        <v>23</v>
      </c>
      <c r="D194" s="25"/>
      <c r="E194" s="29">
        <v>255707</v>
      </c>
      <c r="F194" s="29">
        <v>68196</v>
      </c>
      <c r="G194" s="29">
        <v>327230</v>
      </c>
      <c r="H194" s="30">
        <f t="shared" si="0"/>
        <v>0.7814289643370107</v>
      </c>
      <c r="I194" s="30">
        <f t="shared" si="1"/>
        <v>0.20840387495034074</v>
      </c>
      <c r="J194" s="28"/>
      <c r="K194" s="29">
        <v>247508</v>
      </c>
      <c r="L194" s="29">
        <v>69754</v>
      </c>
      <c r="M194" s="29">
        <v>320353</v>
      </c>
      <c r="N194" s="30">
        <f t="shared" si="4"/>
        <v>0.77261021435728716</v>
      </c>
      <c r="O194" s="30">
        <f t="shared" si="5"/>
        <v>0.2177410543993657</v>
      </c>
    </row>
    <row r="195" spans="1:15" x14ac:dyDescent="0.2">
      <c r="A195" s="4" t="s">
        <v>392</v>
      </c>
      <c r="B195" s="4" t="s">
        <v>393</v>
      </c>
      <c r="C195" s="8" t="s">
        <v>23</v>
      </c>
      <c r="D195" s="25"/>
      <c r="E195" s="26">
        <v>234908</v>
      </c>
      <c r="F195" s="26">
        <v>115052</v>
      </c>
      <c r="G195" s="26">
        <v>355303</v>
      </c>
      <c r="H195" s="27">
        <f t="shared" si="0"/>
        <v>0.66114837195295284</v>
      </c>
      <c r="I195" s="27">
        <f t="shared" si="1"/>
        <v>0.32381375896066172</v>
      </c>
      <c r="J195" s="28"/>
      <c r="K195" s="26">
        <v>221879</v>
      </c>
      <c r="L195" s="26">
        <v>114618</v>
      </c>
      <c r="M195" s="26">
        <v>340744</v>
      </c>
      <c r="N195" s="27">
        <f t="shared" si="4"/>
        <v>0.65116040194398139</v>
      </c>
      <c r="O195" s="27">
        <f t="shared" si="5"/>
        <v>0.33637569553682528</v>
      </c>
    </row>
    <row r="196" spans="1:15" x14ac:dyDescent="0.2">
      <c r="A196" s="4" t="s">
        <v>394</v>
      </c>
      <c r="B196" s="4" t="s">
        <v>395</v>
      </c>
      <c r="C196" s="8" t="s">
        <v>23</v>
      </c>
      <c r="D196" s="25"/>
      <c r="E196" s="29">
        <v>178613</v>
      </c>
      <c r="F196" s="29">
        <v>138675</v>
      </c>
      <c r="G196" s="29">
        <v>323675</v>
      </c>
      <c r="H196" s="30">
        <f t="shared" si="0"/>
        <v>0.55182822275430599</v>
      </c>
      <c r="I196" s="30">
        <f t="shared" si="1"/>
        <v>0.42843902062253802</v>
      </c>
      <c r="J196" s="28"/>
      <c r="K196" s="29">
        <v>176020</v>
      </c>
      <c r="L196" s="29">
        <v>131361</v>
      </c>
      <c r="M196" s="29">
        <v>312668</v>
      </c>
      <c r="N196" s="30">
        <f t="shared" si="4"/>
        <v>0.56296135197717712</v>
      </c>
      <c r="O196" s="30">
        <f t="shared" si="5"/>
        <v>0.42012933846763978</v>
      </c>
    </row>
    <row r="197" spans="1:15" x14ac:dyDescent="0.2">
      <c r="A197" s="4" t="s">
        <v>396</v>
      </c>
      <c r="B197" s="4" t="s">
        <v>397</v>
      </c>
      <c r="C197" s="8" t="s">
        <v>23</v>
      </c>
      <c r="D197" s="25"/>
      <c r="E197" s="26">
        <v>256965</v>
      </c>
      <c r="F197" s="26">
        <v>75289</v>
      </c>
      <c r="G197" s="26">
        <v>337313</v>
      </c>
      <c r="H197" s="27">
        <f t="shared" si="0"/>
        <v>0.76179987133611804</v>
      </c>
      <c r="I197" s="27">
        <f t="shared" si="1"/>
        <v>0.22320218906475589</v>
      </c>
      <c r="J197" s="28"/>
      <c r="K197" s="26">
        <v>251740</v>
      </c>
      <c r="L197" s="26">
        <v>74017</v>
      </c>
      <c r="M197" s="26">
        <v>330338</v>
      </c>
      <c r="N197" s="27">
        <f t="shared" si="4"/>
        <v>0.76206794253158883</v>
      </c>
      <c r="O197" s="27">
        <f t="shared" si="5"/>
        <v>0.22406444308556692</v>
      </c>
    </row>
    <row r="198" spans="1:15" x14ac:dyDescent="0.2">
      <c r="A198" s="4" t="s">
        <v>398</v>
      </c>
      <c r="B198" s="4" t="s">
        <v>399</v>
      </c>
      <c r="C198" s="8" t="s">
        <v>23</v>
      </c>
      <c r="D198" s="25"/>
      <c r="E198" s="29">
        <v>218691</v>
      </c>
      <c r="F198" s="29">
        <v>127151</v>
      </c>
      <c r="G198" s="29">
        <v>352756</v>
      </c>
      <c r="H198" s="30">
        <f t="shared" si="0"/>
        <v>0.61994976697774096</v>
      </c>
      <c r="I198" s="30">
        <f t="shared" si="1"/>
        <v>0.36045028291510278</v>
      </c>
      <c r="J198" s="28"/>
      <c r="K198" s="29">
        <v>215436</v>
      </c>
      <c r="L198" s="29">
        <v>121963</v>
      </c>
      <c r="M198" s="29">
        <v>343072</v>
      </c>
      <c r="N198" s="30">
        <f t="shared" si="4"/>
        <v>0.62796147747411624</v>
      </c>
      <c r="O198" s="30">
        <f t="shared" si="5"/>
        <v>0.35550263501539037</v>
      </c>
    </row>
    <row r="199" spans="1:15" x14ac:dyDescent="0.2">
      <c r="A199" s="4" t="s">
        <v>400</v>
      </c>
      <c r="B199" s="4" t="s">
        <v>401</v>
      </c>
      <c r="C199" s="8" t="s">
        <v>23</v>
      </c>
      <c r="D199" s="25"/>
      <c r="E199" s="26">
        <v>223103</v>
      </c>
      <c r="F199" s="26">
        <v>142993</v>
      </c>
      <c r="G199" s="26">
        <v>374522</v>
      </c>
      <c r="H199" s="27">
        <f t="shared" si="0"/>
        <v>0.59570065309915043</v>
      </c>
      <c r="I199" s="27">
        <f t="shared" si="1"/>
        <v>0.38180133610308609</v>
      </c>
      <c r="J199" s="28"/>
      <c r="K199" s="26">
        <v>226309</v>
      </c>
      <c r="L199" s="26">
        <v>139825</v>
      </c>
      <c r="M199" s="26">
        <v>372846</v>
      </c>
      <c r="N199" s="27">
        <f t="shared" si="4"/>
        <v>0.60697714337823128</v>
      </c>
      <c r="O199" s="27">
        <f t="shared" si="5"/>
        <v>0.37502078606180567</v>
      </c>
    </row>
    <row r="200" spans="1:15" x14ac:dyDescent="0.2">
      <c r="A200" s="4" t="s">
        <v>402</v>
      </c>
      <c r="B200" s="4" t="s">
        <v>403</v>
      </c>
      <c r="C200" s="5" t="s">
        <v>8</v>
      </c>
      <c r="D200" s="25"/>
      <c r="E200" s="29">
        <v>178203</v>
      </c>
      <c r="F200" s="29">
        <v>149283</v>
      </c>
      <c r="G200" s="29">
        <v>336531</v>
      </c>
      <c r="H200" s="30">
        <f t="shared" si="0"/>
        <v>0.52952922613369946</v>
      </c>
      <c r="I200" s="30">
        <f t="shared" si="1"/>
        <v>0.44359360653253338</v>
      </c>
      <c r="J200" s="28"/>
      <c r="K200" s="29">
        <v>195614</v>
      </c>
      <c r="L200" s="29">
        <v>155448</v>
      </c>
      <c r="M200" s="29">
        <v>358317</v>
      </c>
      <c r="N200" s="30">
        <f t="shared" si="4"/>
        <v>0.54592441888048848</v>
      </c>
      <c r="O200" s="30">
        <f t="shared" si="5"/>
        <v>0.43382814658528623</v>
      </c>
    </row>
    <row r="201" spans="1:15" x14ac:dyDescent="0.2">
      <c r="A201" s="4" t="s">
        <v>404</v>
      </c>
      <c r="B201" s="4" t="s">
        <v>405</v>
      </c>
      <c r="C201" s="5" t="s">
        <v>8</v>
      </c>
      <c r="D201" s="25"/>
      <c r="E201" s="26">
        <v>160199</v>
      </c>
      <c r="F201" s="26">
        <v>189406</v>
      </c>
      <c r="G201" s="26">
        <v>353694</v>
      </c>
      <c r="H201" s="27">
        <f t="shared" si="0"/>
        <v>0.45293106470564953</v>
      </c>
      <c r="I201" s="27">
        <f t="shared" si="1"/>
        <v>0.53550809456762061</v>
      </c>
      <c r="J201" s="28"/>
      <c r="K201" s="26">
        <v>183104</v>
      </c>
      <c r="L201" s="26">
        <v>178360</v>
      </c>
      <c r="M201" s="26">
        <v>368276</v>
      </c>
      <c r="N201" s="27">
        <f t="shared" si="4"/>
        <v>0.49719232314894263</v>
      </c>
      <c r="O201" s="27">
        <f t="shared" si="5"/>
        <v>0.48431068003345318</v>
      </c>
    </row>
    <row r="202" spans="1:15" x14ac:dyDescent="0.2">
      <c r="A202" s="4" t="s">
        <v>406</v>
      </c>
      <c r="B202" s="4" t="s">
        <v>407</v>
      </c>
      <c r="C202" s="5" t="s">
        <v>8</v>
      </c>
      <c r="D202" s="25"/>
      <c r="E202" s="29">
        <v>142080</v>
      </c>
      <c r="F202" s="29">
        <v>184755</v>
      </c>
      <c r="G202" s="29">
        <v>329985</v>
      </c>
      <c r="H202" s="30">
        <f t="shared" si="0"/>
        <v>0.4305650256829856</v>
      </c>
      <c r="I202" s="30">
        <f t="shared" si="1"/>
        <v>0.55988908586753938</v>
      </c>
      <c r="J202" s="28"/>
      <c r="K202" s="29">
        <v>168237</v>
      </c>
      <c r="L202" s="29">
        <v>176331</v>
      </c>
      <c r="M202" s="29">
        <v>350282</v>
      </c>
      <c r="N202" s="30">
        <f t="shared" si="4"/>
        <v>0.48029016620894022</v>
      </c>
      <c r="O202" s="30">
        <f t="shared" si="5"/>
        <v>0.50339726277684838</v>
      </c>
    </row>
    <row r="203" spans="1:15" x14ac:dyDescent="0.2">
      <c r="A203" s="4" t="s">
        <v>408</v>
      </c>
      <c r="B203" s="4" t="s">
        <v>409</v>
      </c>
      <c r="C203" s="5" t="s">
        <v>8</v>
      </c>
      <c r="D203" s="25"/>
      <c r="E203" s="26">
        <v>153069</v>
      </c>
      <c r="F203" s="26">
        <v>177742</v>
      </c>
      <c r="G203" s="26">
        <v>334438</v>
      </c>
      <c r="H203" s="27">
        <f t="shared" si="0"/>
        <v>0.45769021462872039</v>
      </c>
      <c r="I203" s="27">
        <f t="shared" si="1"/>
        <v>0.53146472589837279</v>
      </c>
      <c r="J203" s="28"/>
      <c r="K203" s="26">
        <v>174381</v>
      </c>
      <c r="L203" s="26">
        <v>170654</v>
      </c>
      <c r="M203" s="26">
        <v>351117</v>
      </c>
      <c r="N203" s="27">
        <f t="shared" si="4"/>
        <v>0.49664641700629703</v>
      </c>
      <c r="O203" s="27">
        <f t="shared" si="5"/>
        <v>0.48603172161985891</v>
      </c>
    </row>
    <row r="204" spans="1:15" x14ac:dyDescent="0.2">
      <c r="A204" s="4" t="s">
        <v>410</v>
      </c>
      <c r="B204" s="4" t="s">
        <v>411</v>
      </c>
      <c r="C204" s="5" t="s">
        <v>8</v>
      </c>
      <c r="D204" s="25"/>
      <c r="E204" s="29">
        <v>146088</v>
      </c>
      <c r="F204" s="29">
        <v>171864</v>
      </c>
      <c r="G204" s="29">
        <v>321415</v>
      </c>
      <c r="H204" s="30">
        <f t="shared" si="0"/>
        <v>0.45451519064138263</v>
      </c>
      <c r="I204" s="30">
        <f t="shared" si="1"/>
        <v>0.53471057666879274</v>
      </c>
      <c r="J204" s="28"/>
      <c r="K204" s="29">
        <v>170685</v>
      </c>
      <c r="L204" s="29">
        <v>167074</v>
      </c>
      <c r="M204" s="29">
        <v>343947</v>
      </c>
      <c r="N204" s="30">
        <f t="shared" si="4"/>
        <v>0.49625378328637842</v>
      </c>
      <c r="O204" s="30">
        <f t="shared" si="5"/>
        <v>0.48575507272922863</v>
      </c>
    </row>
    <row r="205" spans="1:15" x14ac:dyDescent="0.2">
      <c r="A205" s="4" t="s">
        <v>412</v>
      </c>
      <c r="B205" s="4" t="s">
        <v>413</v>
      </c>
      <c r="C205" s="8" t="s">
        <v>23</v>
      </c>
      <c r="D205" s="25"/>
      <c r="E205" s="26">
        <v>205800</v>
      </c>
      <c r="F205" s="26">
        <v>129903</v>
      </c>
      <c r="G205" s="26">
        <v>338966</v>
      </c>
      <c r="H205" s="27">
        <f t="shared" si="0"/>
        <v>0.60714053916912025</v>
      </c>
      <c r="I205" s="27">
        <f t="shared" si="1"/>
        <v>0.38323312662626929</v>
      </c>
      <c r="J205" s="28"/>
      <c r="K205" s="26">
        <v>230768</v>
      </c>
      <c r="L205" s="26">
        <v>129429</v>
      </c>
      <c r="M205" s="26">
        <v>366156</v>
      </c>
      <c r="N205" s="27">
        <f t="shared" si="4"/>
        <v>0.63024503217207961</v>
      </c>
      <c r="O205" s="27">
        <f t="shared" si="5"/>
        <v>0.35348048372824697</v>
      </c>
    </row>
    <row r="206" spans="1:15" x14ac:dyDescent="0.2">
      <c r="A206" s="4" t="s">
        <v>414</v>
      </c>
      <c r="B206" s="4" t="s">
        <v>415</v>
      </c>
      <c r="C206" s="5" t="s">
        <v>8</v>
      </c>
      <c r="D206" s="25"/>
      <c r="E206" s="29">
        <v>158950</v>
      </c>
      <c r="F206" s="29">
        <v>163309</v>
      </c>
      <c r="G206" s="29">
        <v>325500</v>
      </c>
      <c r="H206" s="30">
        <f t="shared" si="0"/>
        <v>0.48832565284178187</v>
      </c>
      <c r="I206" s="30">
        <f t="shared" si="1"/>
        <v>0.50171735791090633</v>
      </c>
      <c r="J206" s="28"/>
      <c r="K206" s="29">
        <v>184125</v>
      </c>
      <c r="L206" s="29">
        <v>156672</v>
      </c>
      <c r="M206" s="29">
        <v>346680</v>
      </c>
      <c r="N206" s="30">
        <f t="shared" si="4"/>
        <v>0.5311093804084458</v>
      </c>
      <c r="O206" s="30">
        <f t="shared" si="5"/>
        <v>0.45192107995846315</v>
      </c>
    </row>
    <row r="207" spans="1:15" x14ac:dyDescent="0.2">
      <c r="A207" s="4" t="s">
        <v>416</v>
      </c>
      <c r="B207" s="4" t="s">
        <v>417</v>
      </c>
      <c r="C207" s="5" t="s">
        <v>8</v>
      </c>
      <c r="D207" s="25"/>
      <c r="E207" s="26">
        <v>159012</v>
      </c>
      <c r="F207" s="26">
        <v>169268</v>
      </c>
      <c r="G207" s="26">
        <v>331820</v>
      </c>
      <c r="H207" s="27">
        <f t="shared" si="0"/>
        <v>0.47921162075824242</v>
      </c>
      <c r="I207" s="27">
        <f t="shared" si="1"/>
        <v>0.51011994454824905</v>
      </c>
      <c r="J207" s="28"/>
      <c r="K207" s="26">
        <v>177650</v>
      </c>
      <c r="L207" s="26">
        <v>165756</v>
      </c>
      <c r="M207" s="26">
        <v>349608</v>
      </c>
      <c r="N207" s="27">
        <f t="shared" si="4"/>
        <v>0.50814054598292946</v>
      </c>
      <c r="O207" s="27">
        <f t="shared" si="5"/>
        <v>0.47411958536417931</v>
      </c>
    </row>
    <row r="208" spans="1:15" x14ac:dyDescent="0.2">
      <c r="A208" s="4" t="s">
        <v>418</v>
      </c>
      <c r="B208" s="4" t="s">
        <v>419</v>
      </c>
      <c r="C208" s="5" t="s">
        <v>8</v>
      </c>
      <c r="D208" s="25"/>
      <c r="E208" s="29">
        <v>172131</v>
      </c>
      <c r="F208" s="29">
        <v>183512</v>
      </c>
      <c r="G208" s="29">
        <v>358795</v>
      </c>
      <c r="H208" s="30">
        <f t="shared" si="0"/>
        <v>0.4797474881199571</v>
      </c>
      <c r="I208" s="30">
        <f t="shared" si="1"/>
        <v>0.51146755110857178</v>
      </c>
      <c r="J208" s="28"/>
      <c r="K208" s="29">
        <v>195947</v>
      </c>
      <c r="L208" s="29">
        <v>174675</v>
      </c>
      <c r="M208" s="29">
        <v>376482</v>
      </c>
      <c r="N208" s="30">
        <f t="shared" si="4"/>
        <v>0.52046844205035037</v>
      </c>
      <c r="O208" s="30">
        <f t="shared" si="5"/>
        <v>0.46396640476835543</v>
      </c>
    </row>
    <row r="209" spans="1:15" x14ac:dyDescent="0.2">
      <c r="A209" s="4" t="s">
        <v>420</v>
      </c>
      <c r="B209" s="4" t="s">
        <v>421</v>
      </c>
      <c r="C209" s="8" t="s">
        <v>23</v>
      </c>
      <c r="D209" s="25"/>
      <c r="E209" s="26">
        <v>199625</v>
      </c>
      <c r="F209" s="26">
        <v>146185</v>
      </c>
      <c r="G209" s="26">
        <v>349021</v>
      </c>
      <c r="H209" s="27">
        <f t="shared" si="0"/>
        <v>0.57195698826145136</v>
      </c>
      <c r="I209" s="27">
        <f t="shared" si="1"/>
        <v>0.41884299225548033</v>
      </c>
      <c r="J209" s="28"/>
      <c r="K209" s="26">
        <v>214229</v>
      </c>
      <c r="L209" s="26">
        <v>147770</v>
      </c>
      <c r="M209" s="26">
        <v>368821</v>
      </c>
      <c r="N209" s="27">
        <f t="shared" si="4"/>
        <v>0.5808481621165823</v>
      </c>
      <c r="O209" s="27">
        <f t="shared" si="5"/>
        <v>0.40065506031381076</v>
      </c>
    </row>
    <row r="210" spans="1:15" x14ac:dyDescent="0.2">
      <c r="A210" s="4" t="s">
        <v>422</v>
      </c>
      <c r="B210" s="4" t="s">
        <v>423</v>
      </c>
      <c r="C210" s="5" t="s">
        <v>8</v>
      </c>
      <c r="D210" s="25"/>
      <c r="E210" s="29">
        <v>148429</v>
      </c>
      <c r="F210" s="29">
        <v>187653</v>
      </c>
      <c r="G210" s="29">
        <v>339318</v>
      </c>
      <c r="H210" s="30">
        <f t="shared" si="0"/>
        <v>0.43743332213439901</v>
      </c>
      <c r="I210" s="30">
        <f t="shared" si="1"/>
        <v>0.5530299011546691</v>
      </c>
      <c r="J210" s="28"/>
      <c r="K210" s="29">
        <v>170032</v>
      </c>
      <c r="L210" s="29">
        <v>177205</v>
      </c>
      <c r="M210" s="29">
        <v>354087</v>
      </c>
      <c r="N210" s="30">
        <f t="shared" si="4"/>
        <v>0.48019836932731219</v>
      </c>
      <c r="O210" s="30">
        <f t="shared" si="5"/>
        <v>0.50045610259625462</v>
      </c>
    </row>
    <row r="211" spans="1:15" x14ac:dyDescent="0.2">
      <c r="A211" s="4" t="s">
        <v>424</v>
      </c>
      <c r="B211" s="4" t="s">
        <v>425</v>
      </c>
      <c r="C211" s="5" t="s">
        <v>8</v>
      </c>
      <c r="D211" s="25"/>
      <c r="E211" s="26">
        <v>178768</v>
      </c>
      <c r="F211" s="26">
        <v>199308</v>
      </c>
      <c r="G211" s="26">
        <v>380884</v>
      </c>
      <c r="H211" s="27">
        <f t="shared" si="0"/>
        <v>0.46935024836958233</v>
      </c>
      <c r="I211" s="27">
        <f t="shared" si="1"/>
        <v>0.52327742829837953</v>
      </c>
      <c r="J211" s="28"/>
      <c r="K211" s="26">
        <v>193613</v>
      </c>
      <c r="L211" s="26">
        <v>186390</v>
      </c>
      <c r="M211" s="26">
        <v>386552</v>
      </c>
      <c r="N211" s="27">
        <f t="shared" si="4"/>
        <v>0.50087181026097394</v>
      </c>
      <c r="O211" s="27">
        <f t="shared" si="5"/>
        <v>0.48218609656656802</v>
      </c>
    </row>
    <row r="212" spans="1:15" x14ac:dyDescent="0.2">
      <c r="A212" s="4" t="s">
        <v>426</v>
      </c>
      <c r="B212" s="4" t="s">
        <v>427</v>
      </c>
      <c r="C212" s="8" t="s">
        <v>23</v>
      </c>
      <c r="D212" s="25"/>
      <c r="E212" s="29">
        <v>217492</v>
      </c>
      <c r="F212" s="29">
        <v>107675</v>
      </c>
      <c r="G212" s="29">
        <v>328498</v>
      </c>
      <c r="H212" s="30">
        <f t="shared" si="0"/>
        <v>0.66208013443004221</v>
      </c>
      <c r="I212" s="30">
        <f t="shared" si="1"/>
        <v>0.32777977339283648</v>
      </c>
      <c r="J212" s="28"/>
      <c r="K212" s="29">
        <v>234529</v>
      </c>
      <c r="L212" s="29">
        <v>110055</v>
      </c>
      <c r="M212" s="29">
        <v>350474</v>
      </c>
      <c r="N212" s="30">
        <f t="shared" si="4"/>
        <v>0.66917660083201602</v>
      </c>
      <c r="O212" s="30">
        <f t="shared" si="5"/>
        <v>0.31401758760992254</v>
      </c>
    </row>
    <row r="213" spans="1:15" x14ac:dyDescent="0.2">
      <c r="A213" s="4" t="s">
        <v>428</v>
      </c>
      <c r="B213" s="4" t="s">
        <v>429</v>
      </c>
      <c r="C213" s="8" t="s">
        <v>23</v>
      </c>
      <c r="D213" s="25"/>
      <c r="E213" s="26">
        <v>249656</v>
      </c>
      <c r="F213" s="26">
        <v>41881</v>
      </c>
      <c r="G213" s="26">
        <v>293164</v>
      </c>
      <c r="H213" s="27">
        <f t="shared" si="0"/>
        <v>0.8515916006058043</v>
      </c>
      <c r="I213" s="27">
        <f t="shared" si="1"/>
        <v>0.142858604740009</v>
      </c>
      <c r="J213" s="28"/>
      <c r="K213" s="26">
        <v>281005</v>
      </c>
      <c r="L213" s="26">
        <v>46980</v>
      </c>
      <c r="M213" s="26">
        <v>331253</v>
      </c>
      <c r="N213" s="27">
        <f t="shared" si="4"/>
        <v>0.84830929833088309</v>
      </c>
      <c r="O213" s="27">
        <f t="shared" si="5"/>
        <v>0.14182513064032629</v>
      </c>
    </row>
    <row r="214" spans="1:15" x14ac:dyDescent="0.2">
      <c r="A214" s="4" t="s">
        <v>430</v>
      </c>
      <c r="B214" s="4" t="s">
        <v>431</v>
      </c>
      <c r="C214" s="8" t="s">
        <v>23</v>
      </c>
      <c r="D214" s="25"/>
      <c r="E214" s="29">
        <v>273270</v>
      </c>
      <c r="F214" s="29">
        <v>62794</v>
      </c>
      <c r="G214" s="29">
        <v>337491</v>
      </c>
      <c r="H214" s="30">
        <f t="shared" si="0"/>
        <v>0.80971048116838673</v>
      </c>
      <c r="I214" s="30">
        <f t="shared" si="1"/>
        <v>0.1860612579298411</v>
      </c>
      <c r="J214" s="28"/>
      <c r="K214" s="29">
        <v>294273</v>
      </c>
      <c r="L214" s="29">
        <v>61286</v>
      </c>
      <c r="M214" s="29">
        <v>357861</v>
      </c>
      <c r="N214" s="30">
        <f t="shared" si="4"/>
        <v>0.82231089724781414</v>
      </c>
      <c r="O214" s="30">
        <f t="shared" si="5"/>
        <v>0.17125643755536368</v>
      </c>
    </row>
    <row r="215" spans="1:15" x14ac:dyDescent="0.2">
      <c r="A215" s="4" t="s">
        <v>432</v>
      </c>
      <c r="B215" s="4" t="s">
        <v>433</v>
      </c>
      <c r="C215" s="8" t="s">
        <v>23</v>
      </c>
      <c r="D215" s="25"/>
      <c r="E215" s="26">
        <v>170377</v>
      </c>
      <c r="F215" s="26">
        <v>165720</v>
      </c>
      <c r="G215" s="26">
        <v>343764</v>
      </c>
      <c r="H215" s="27">
        <f t="shared" si="0"/>
        <v>0.49562199648596128</v>
      </c>
      <c r="I215" s="27">
        <f t="shared" si="1"/>
        <v>0.48207491185813522</v>
      </c>
      <c r="J215" s="28"/>
      <c r="K215" s="26">
        <v>176959</v>
      </c>
      <c r="L215" s="26">
        <v>162554</v>
      </c>
      <c r="M215" s="26">
        <v>348046</v>
      </c>
      <c r="N215" s="27">
        <f t="shared" si="4"/>
        <v>0.50843566654982386</v>
      </c>
      <c r="O215" s="27">
        <f t="shared" si="5"/>
        <v>0.46704745924389307</v>
      </c>
    </row>
    <row r="216" spans="1:15" x14ac:dyDescent="0.2">
      <c r="A216" s="4" t="s">
        <v>434</v>
      </c>
      <c r="B216" s="4" t="s">
        <v>435</v>
      </c>
      <c r="C216" s="5" t="s">
        <v>8</v>
      </c>
      <c r="D216" s="25"/>
      <c r="E216" s="29">
        <v>184802</v>
      </c>
      <c r="F216" s="29">
        <v>184576</v>
      </c>
      <c r="G216" s="29">
        <v>376586</v>
      </c>
      <c r="H216" s="30">
        <f t="shared" si="0"/>
        <v>0.49072987312327065</v>
      </c>
      <c r="I216" s="30">
        <f t="shared" si="1"/>
        <v>0.490129744600171</v>
      </c>
      <c r="J216" s="28"/>
      <c r="K216" s="29">
        <v>185192</v>
      </c>
      <c r="L216" s="29">
        <v>174635</v>
      </c>
      <c r="M216" s="29">
        <v>367039</v>
      </c>
      <c r="N216" s="30">
        <f t="shared" si="4"/>
        <v>0.50455673647759502</v>
      </c>
      <c r="O216" s="30">
        <f t="shared" si="5"/>
        <v>0.4757941254199145</v>
      </c>
    </row>
    <row r="217" spans="1:15" x14ac:dyDescent="0.2">
      <c r="A217" s="4" t="s">
        <v>436</v>
      </c>
      <c r="B217" s="4" t="s">
        <v>437</v>
      </c>
      <c r="C217" s="5" t="s">
        <v>8</v>
      </c>
      <c r="D217" s="25"/>
      <c r="E217" s="26">
        <v>199093</v>
      </c>
      <c r="F217" s="26">
        <v>195802</v>
      </c>
      <c r="G217" s="26">
        <v>401332</v>
      </c>
      <c r="H217" s="27">
        <f t="shared" si="0"/>
        <v>0.49608055176263044</v>
      </c>
      <c r="I217" s="27">
        <f t="shared" si="1"/>
        <v>0.48788035840650634</v>
      </c>
      <c r="J217" s="28"/>
      <c r="K217" s="26">
        <v>199740</v>
      </c>
      <c r="L217" s="26">
        <v>185406</v>
      </c>
      <c r="M217" s="26">
        <v>391314</v>
      </c>
      <c r="N217" s="27">
        <f t="shared" si="4"/>
        <v>0.51043407595945967</v>
      </c>
      <c r="O217" s="27">
        <f t="shared" si="5"/>
        <v>0.47380364617672766</v>
      </c>
    </row>
    <row r="218" spans="1:15" x14ac:dyDescent="0.2">
      <c r="A218" s="4" t="s">
        <v>438</v>
      </c>
      <c r="B218" s="4" t="s">
        <v>439</v>
      </c>
      <c r="C218" s="8" t="s">
        <v>23</v>
      </c>
      <c r="D218" s="25"/>
      <c r="E218" s="29">
        <v>231511</v>
      </c>
      <c r="F218" s="29">
        <v>131521</v>
      </c>
      <c r="G218" s="29">
        <v>370514</v>
      </c>
      <c r="H218" s="30">
        <f t="shared" si="0"/>
        <v>0.62483738806090994</v>
      </c>
      <c r="I218" s="30">
        <f t="shared" si="1"/>
        <v>0.35496904300512261</v>
      </c>
      <c r="J218" s="28"/>
      <c r="K218" s="29">
        <v>229802</v>
      </c>
      <c r="L218" s="29">
        <v>130366</v>
      </c>
      <c r="M218" s="29">
        <v>367119</v>
      </c>
      <c r="N218" s="30">
        <f t="shared" si="4"/>
        <v>0.62596051961353127</v>
      </c>
      <c r="O218" s="30">
        <f t="shared" si="5"/>
        <v>0.35510556522544462</v>
      </c>
    </row>
    <row r="219" spans="1:15" x14ac:dyDescent="0.2">
      <c r="A219" s="4" t="s">
        <v>440</v>
      </c>
      <c r="B219" s="4" t="s">
        <v>441</v>
      </c>
      <c r="C219" s="8" t="s">
        <v>23</v>
      </c>
      <c r="D219" s="25"/>
      <c r="E219" s="26">
        <v>274635</v>
      </c>
      <c r="F219" s="26">
        <v>89643</v>
      </c>
      <c r="G219" s="26">
        <v>373638</v>
      </c>
      <c r="H219" s="27">
        <f t="shared" si="0"/>
        <v>0.73502962760747037</v>
      </c>
      <c r="I219" s="27">
        <f t="shared" si="1"/>
        <v>0.23991938721436257</v>
      </c>
      <c r="J219" s="28"/>
      <c r="K219" s="26">
        <v>269829</v>
      </c>
      <c r="L219" s="26">
        <v>90035</v>
      </c>
      <c r="M219" s="26">
        <v>367392</v>
      </c>
      <c r="N219" s="27">
        <f t="shared" si="4"/>
        <v>0.73444440815259993</v>
      </c>
      <c r="O219" s="27">
        <f t="shared" si="5"/>
        <v>0.24506521644456059</v>
      </c>
    </row>
    <row r="220" spans="1:15" x14ac:dyDescent="0.2">
      <c r="A220" s="4" t="s">
        <v>442</v>
      </c>
      <c r="B220" s="4" t="s">
        <v>443</v>
      </c>
      <c r="C220" s="5" t="s">
        <v>8</v>
      </c>
      <c r="D220" s="25"/>
      <c r="E220" s="29">
        <v>151238</v>
      </c>
      <c r="F220" s="29">
        <v>205652</v>
      </c>
      <c r="G220" s="29">
        <v>364072</v>
      </c>
      <c r="H220" s="30">
        <f t="shared" si="0"/>
        <v>0.41540684260256211</v>
      </c>
      <c r="I220" s="30">
        <f t="shared" si="1"/>
        <v>0.56486629018435919</v>
      </c>
      <c r="J220" s="28"/>
      <c r="K220" s="29">
        <v>153766</v>
      </c>
      <c r="L220" s="29">
        <v>194584</v>
      </c>
      <c r="M220" s="29">
        <v>356012</v>
      </c>
      <c r="N220" s="30">
        <f t="shared" si="4"/>
        <v>0.43191240744693998</v>
      </c>
      <c r="O220" s="30">
        <f t="shared" si="5"/>
        <v>0.54656584609507541</v>
      </c>
    </row>
    <row r="221" spans="1:15" x14ac:dyDescent="0.2">
      <c r="A221" s="4" t="s">
        <v>444</v>
      </c>
      <c r="B221" s="4" t="s">
        <v>445</v>
      </c>
      <c r="C221" s="8" t="s">
        <v>23</v>
      </c>
      <c r="D221" s="25"/>
      <c r="E221" s="26">
        <v>147750</v>
      </c>
      <c r="F221" s="26">
        <v>180334</v>
      </c>
      <c r="G221" s="26">
        <v>334777</v>
      </c>
      <c r="H221" s="27">
        <f t="shared" si="0"/>
        <v>0.4413385626850112</v>
      </c>
      <c r="I221" s="27">
        <f t="shared" si="1"/>
        <v>0.53866902445508502</v>
      </c>
      <c r="J221" s="28"/>
      <c r="K221" s="26">
        <v>162296</v>
      </c>
      <c r="L221" s="26">
        <v>173440</v>
      </c>
      <c r="M221" s="26">
        <v>344442</v>
      </c>
      <c r="N221" s="27">
        <f t="shared" si="4"/>
        <v>0.47118527937940202</v>
      </c>
      <c r="O221" s="27">
        <f t="shared" si="5"/>
        <v>0.50353905737395555</v>
      </c>
    </row>
    <row r="222" spans="1:15" x14ac:dyDescent="0.2">
      <c r="A222" s="4" t="s">
        <v>446</v>
      </c>
      <c r="B222" s="4" t="s">
        <v>447</v>
      </c>
      <c r="C222" s="8" t="s">
        <v>23</v>
      </c>
      <c r="D222" s="25"/>
      <c r="E222" s="29">
        <v>186761</v>
      </c>
      <c r="F222" s="29">
        <v>166977</v>
      </c>
      <c r="G222" s="29">
        <v>361237</v>
      </c>
      <c r="H222" s="30">
        <f t="shared" si="0"/>
        <v>0.51700407211885824</v>
      </c>
      <c r="I222" s="30">
        <f t="shared" si="1"/>
        <v>0.4622367033277322</v>
      </c>
      <c r="J222" s="28"/>
      <c r="K222" s="29">
        <v>195770</v>
      </c>
      <c r="L222" s="29">
        <v>164390</v>
      </c>
      <c r="M222" s="29">
        <v>369006</v>
      </c>
      <c r="N222" s="30">
        <f t="shared" si="4"/>
        <v>0.53053337886104834</v>
      </c>
      <c r="O222" s="30">
        <f t="shared" si="5"/>
        <v>0.44549411120686383</v>
      </c>
    </row>
    <row r="223" spans="1:15" x14ac:dyDescent="0.2">
      <c r="A223" s="4" t="s">
        <v>448</v>
      </c>
      <c r="B223" s="4" t="s">
        <v>449</v>
      </c>
      <c r="C223" s="8" t="s">
        <v>23</v>
      </c>
      <c r="D223" s="25"/>
      <c r="E223" s="26">
        <v>280194</v>
      </c>
      <c r="F223" s="26">
        <v>66286</v>
      </c>
      <c r="G223" s="26">
        <v>350829</v>
      </c>
      <c r="H223" s="27">
        <f t="shared" si="0"/>
        <v>0.79866259630760283</v>
      </c>
      <c r="I223" s="27">
        <f t="shared" si="1"/>
        <v>0.18894105105336217</v>
      </c>
      <c r="J223" s="28"/>
      <c r="K223" s="26">
        <v>309062</v>
      </c>
      <c r="L223" s="26">
        <v>71725</v>
      </c>
      <c r="M223" s="26">
        <v>384801</v>
      </c>
      <c r="N223" s="27">
        <f t="shared" si="4"/>
        <v>0.80317358842622555</v>
      </c>
      <c r="O223" s="27">
        <f t="shared" si="5"/>
        <v>0.18639504575092061</v>
      </c>
    </row>
    <row r="224" spans="1:15" x14ac:dyDescent="0.2">
      <c r="A224" s="4" t="s">
        <v>450</v>
      </c>
      <c r="B224" s="4" t="s">
        <v>451</v>
      </c>
      <c r="C224" s="5" t="s">
        <v>8</v>
      </c>
      <c r="D224" s="25"/>
      <c r="E224" s="29">
        <v>170727</v>
      </c>
      <c r="F224" s="29">
        <v>235428</v>
      </c>
      <c r="G224" s="29">
        <v>411992</v>
      </c>
      <c r="H224" s="30">
        <f t="shared" si="0"/>
        <v>0.41439396881492846</v>
      </c>
      <c r="I224" s="30">
        <f t="shared" si="1"/>
        <v>0.57143828035495836</v>
      </c>
      <c r="J224" s="28"/>
      <c r="K224" s="29">
        <v>199128</v>
      </c>
      <c r="L224" s="29">
        <v>225911</v>
      </c>
      <c r="M224" s="29">
        <v>429449</v>
      </c>
      <c r="N224" s="30">
        <f t="shared" si="4"/>
        <v>0.46368253273380539</v>
      </c>
      <c r="O224" s="30">
        <f t="shared" si="5"/>
        <v>0.52604849469902126</v>
      </c>
    </row>
    <row r="225" spans="1:15" x14ac:dyDescent="0.2">
      <c r="A225" s="4" t="s">
        <v>452</v>
      </c>
      <c r="B225" s="4" t="s">
        <v>453</v>
      </c>
      <c r="C225" s="5" t="s">
        <v>8</v>
      </c>
      <c r="D225" s="25"/>
      <c r="E225" s="26">
        <v>127443</v>
      </c>
      <c r="F225" s="26">
        <v>219156</v>
      </c>
      <c r="G225" s="26">
        <v>353496</v>
      </c>
      <c r="H225" s="27">
        <f t="shared" si="0"/>
        <v>0.36052175979360446</v>
      </c>
      <c r="I225" s="27">
        <f t="shared" si="1"/>
        <v>0.61996741122954713</v>
      </c>
      <c r="J225" s="28"/>
      <c r="K225" s="26">
        <v>158404</v>
      </c>
      <c r="L225" s="26">
        <v>206620</v>
      </c>
      <c r="M225" s="26">
        <v>370056</v>
      </c>
      <c r="N225" s="27">
        <f t="shared" si="4"/>
        <v>0.42805413234753659</v>
      </c>
      <c r="O225" s="27">
        <f t="shared" si="5"/>
        <v>0.55834792571935055</v>
      </c>
    </row>
    <row r="226" spans="1:15" x14ac:dyDescent="0.2">
      <c r="A226" s="4" t="s">
        <v>454</v>
      </c>
      <c r="B226" s="4" t="s">
        <v>455</v>
      </c>
      <c r="C226" s="5" t="s">
        <v>8</v>
      </c>
      <c r="D226" s="25"/>
      <c r="E226" s="29">
        <v>119908</v>
      </c>
      <c r="F226" s="29">
        <v>201672</v>
      </c>
      <c r="G226" s="29">
        <v>329292</v>
      </c>
      <c r="H226" s="30">
        <f t="shared" si="0"/>
        <v>0.36413881904206602</v>
      </c>
      <c r="I226" s="30">
        <f t="shared" si="1"/>
        <v>0.61244123756422875</v>
      </c>
      <c r="J226" s="28"/>
      <c r="K226" s="29">
        <v>146703</v>
      </c>
      <c r="L226" s="29">
        <v>197817</v>
      </c>
      <c r="M226" s="29">
        <v>350083</v>
      </c>
      <c r="N226" s="30">
        <f t="shared" si="4"/>
        <v>0.41905205337020079</v>
      </c>
      <c r="O226" s="30">
        <f t="shared" si="5"/>
        <v>0.56505742923820923</v>
      </c>
    </row>
    <row r="227" spans="1:15" x14ac:dyDescent="0.2">
      <c r="A227" s="4" t="s">
        <v>456</v>
      </c>
      <c r="B227" s="4" t="s">
        <v>457</v>
      </c>
      <c r="C227" s="8" t="s">
        <v>23</v>
      </c>
      <c r="D227" s="25"/>
      <c r="E227" s="26">
        <v>199298</v>
      </c>
      <c r="F227" s="26">
        <v>133185</v>
      </c>
      <c r="G227" s="26">
        <v>338346</v>
      </c>
      <c r="H227" s="27">
        <f t="shared" si="0"/>
        <v>0.58903607549668091</v>
      </c>
      <c r="I227" s="27">
        <f t="shared" si="1"/>
        <v>0.39363550921246299</v>
      </c>
      <c r="J227" s="28"/>
      <c r="K227" s="26">
        <v>229496</v>
      </c>
      <c r="L227" s="26">
        <v>136071</v>
      </c>
      <c r="M227" s="26">
        <v>370231</v>
      </c>
      <c r="N227" s="27">
        <f t="shared" si="4"/>
        <v>0.61987245800594759</v>
      </c>
      <c r="O227" s="27">
        <f t="shared" si="5"/>
        <v>0.36753000153957932</v>
      </c>
    </row>
    <row r="228" spans="1:15" x14ac:dyDescent="0.2">
      <c r="A228" s="4" t="s">
        <v>458</v>
      </c>
      <c r="B228" s="4" t="s">
        <v>459</v>
      </c>
      <c r="C228" s="5" t="s">
        <v>8</v>
      </c>
      <c r="D228" s="25"/>
      <c r="E228" s="29">
        <v>129610</v>
      </c>
      <c r="F228" s="29">
        <v>205283</v>
      </c>
      <c r="G228" s="29">
        <v>341953</v>
      </c>
      <c r="H228" s="30">
        <f t="shared" si="0"/>
        <v>0.37902869692618574</v>
      </c>
      <c r="I228" s="30">
        <f t="shared" si="1"/>
        <v>0.60032519088880631</v>
      </c>
      <c r="J228" s="28"/>
      <c r="K228" s="29">
        <v>154736</v>
      </c>
      <c r="L228" s="29">
        <v>198560</v>
      </c>
      <c r="M228" s="29">
        <v>359371</v>
      </c>
      <c r="N228" s="30">
        <f t="shared" si="4"/>
        <v>0.43057453161217796</v>
      </c>
      <c r="O228" s="30">
        <f t="shared" si="5"/>
        <v>0.55252093240689981</v>
      </c>
    </row>
    <row r="229" spans="1:15" x14ac:dyDescent="0.2">
      <c r="A229" s="4" t="s">
        <v>460</v>
      </c>
      <c r="B229" s="4" t="s">
        <v>461</v>
      </c>
      <c r="C229" s="5" t="s">
        <v>8</v>
      </c>
      <c r="D229" s="25"/>
      <c r="E229" s="26">
        <v>98916</v>
      </c>
      <c r="F229" s="26">
        <v>220216</v>
      </c>
      <c r="G229" s="26">
        <v>325978</v>
      </c>
      <c r="H229" s="27">
        <f t="shared" si="0"/>
        <v>0.30344379068526095</v>
      </c>
      <c r="I229" s="27">
        <f t="shared" si="1"/>
        <v>0.67555479204118074</v>
      </c>
      <c r="J229" s="28"/>
      <c r="K229" s="26">
        <v>121064</v>
      </c>
      <c r="L229" s="26">
        <v>216172</v>
      </c>
      <c r="M229" s="26">
        <v>342504</v>
      </c>
      <c r="N229" s="27">
        <f t="shared" si="4"/>
        <v>0.35346740476023636</v>
      </c>
      <c r="O229" s="27">
        <f t="shared" si="5"/>
        <v>0.63115175297222803</v>
      </c>
    </row>
    <row r="230" spans="1:15" x14ac:dyDescent="0.2">
      <c r="A230" s="4" t="s">
        <v>462</v>
      </c>
      <c r="B230" s="4" t="s">
        <v>463</v>
      </c>
      <c r="C230" s="5" t="s">
        <v>8</v>
      </c>
      <c r="D230" s="25"/>
      <c r="E230" s="29">
        <v>97700</v>
      </c>
      <c r="F230" s="29">
        <v>201214</v>
      </c>
      <c r="G230" s="29">
        <v>305437</v>
      </c>
      <c r="H230" s="30">
        <f t="shared" si="0"/>
        <v>0.31986956393626181</v>
      </c>
      <c r="I230" s="30">
        <f t="shared" si="1"/>
        <v>0.65877414982467741</v>
      </c>
      <c r="J230" s="28"/>
      <c r="K230" s="29">
        <v>123319</v>
      </c>
      <c r="L230" s="29">
        <v>192937</v>
      </c>
      <c r="M230" s="29">
        <v>321648</v>
      </c>
      <c r="N230" s="30">
        <f t="shared" si="4"/>
        <v>0.38339737850072131</v>
      </c>
      <c r="O230" s="30">
        <f t="shared" si="5"/>
        <v>0.59983895438491763</v>
      </c>
    </row>
    <row r="231" spans="1:15" x14ac:dyDescent="0.2">
      <c r="A231" s="4" t="s">
        <v>464</v>
      </c>
      <c r="B231" s="4" t="s">
        <v>465</v>
      </c>
      <c r="C231" s="5" t="s">
        <v>8</v>
      </c>
      <c r="D231" s="25"/>
      <c r="E231" s="26">
        <v>118438</v>
      </c>
      <c r="F231" s="26">
        <v>197984</v>
      </c>
      <c r="G231" s="26">
        <v>319986</v>
      </c>
      <c r="H231" s="27">
        <f t="shared" si="0"/>
        <v>0.3701349434037739</v>
      </c>
      <c r="I231" s="27">
        <f t="shared" si="1"/>
        <v>0.61872706930928223</v>
      </c>
      <c r="J231" s="28"/>
      <c r="K231" s="26">
        <v>118704</v>
      </c>
      <c r="L231" s="26">
        <v>202760</v>
      </c>
      <c r="M231" s="26">
        <v>324760</v>
      </c>
      <c r="N231" s="27">
        <f t="shared" si="4"/>
        <v>0.36551299421110972</v>
      </c>
      <c r="O231" s="27">
        <f t="shared" si="5"/>
        <v>0.62433797265673108</v>
      </c>
    </row>
    <row r="232" spans="1:15" x14ac:dyDescent="0.2">
      <c r="A232" s="4" t="s">
        <v>466</v>
      </c>
      <c r="B232" s="4" t="s">
        <v>467</v>
      </c>
      <c r="C232" s="8" t="s">
        <v>23</v>
      </c>
      <c r="D232" s="25"/>
      <c r="E232" s="29">
        <v>219416</v>
      </c>
      <c r="F232" s="29">
        <v>109228</v>
      </c>
      <c r="G232" s="29">
        <v>330543</v>
      </c>
      <c r="H232" s="30">
        <f t="shared" si="0"/>
        <v>0.66380470922088808</v>
      </c>
      <c r="I232" s="30">
        <f t="shared" si="1"/>
        <v>0.33045019861258595</v>
      </c>
      <c r="J232" s="28"/>
      <c r="K232" s="29">
        <v>215143</v>
      </c>
      <c r="L232" s="29">
        <v>118035</v>
      </c>
      <c r="M232" s="29">
        <v>335114</v>
      </c>
      <c r="N232" s="30">
        <f t="shared" si="4"/>
        <v>0.64199943899687872</v>
      </c>
      <c r="O232" s="30">
        <f t="shared" si="5"/>
        <v>0.35222342247712718</v>
      </c>
    </row>
    <row r="233" spans="1:15" x14ac:dyDescent="0.2">
      <c r="A233" s="4" t="s">
        <v>468</v>
      </c>
      <c r="B233" s="4" t="s">
        <v>469</v>
      </c>
      <c r="C233" s="5" t="s">
        <v>8</v>
      </c>
      <c r="D233" s="25"/>
      <c r="E233" s="26">
        <v>132968</v>
      </c>
      <c r="F233" s="26">
        <v>204180</v>
      </c>
      <c r="G233" s="26">
        <v>340146</v>
      </c>
      <c r="H233" s="27">
        <f t="shared" si="0"/>
        <v>0.39091448966032233</v>
      </c>
      <c r="I233" s="27">
        <f t="shared" si="1"/>
        <v>0.60027164805701083</v>
      </c>
      <c r="J233" s="28"/>
      <c r="K233" s="26">
        <v>131202</v>
      </c>
      <c r="L233" s="26">
        <v>207867</v>
      </c>
      <c r="M233" s="26">
        <v>341622</v>
      </c>
      <c r="N233" s="27">
        <f t="shared" si="4"/>
        <v>0.38405606196322251</v>
      </c>
      <c r="O233" s="27">
        <f t="shared" si="5"/>
        <v>0.60847076593427829</v>
      </c>
    </row>
    <row r="234" spans="1:15" x14ac:dyDescent="0.2">
      <c r="A234" s="4" t="s">
        <v>470</v>
      </c>
      <c r="B234" s="4" t="s">
        <v>471</v>
      </c>
      <c r="C234" s="5" t="s">
        <v>8</v>
      </c>
      <c r="D234" s="25"/>
      <c r="E234" s="29">
        <v>92127</v>
      </c>
      <c r="F234" s="29">
        <v>199354</v>
      </c>
      <c r="G234" s="29">
        <v>294909</v>
      </c>
      <c r="H234" s="30">
        <f t="shared" si="0"/>
        <v>0.31239128002197286</v>
      </c>
      <c r="I234" s="30">
        <f t="shared" si="1"/>
        <v>0.67598479530973965</v>
      </c>
      <c r="J234" s="28"/>
      <c r="K234" s="29">
        <v>89613</v>
      </c>
      <c r="L234" s="29">
        <v>195935</v>
      </c>
      <c r="M234" s="29">
        <v>288369</v>
      </c>
      <c r="N234" s="30">
        <f t="shared" si="4"/>
        <v>0.31075809119565556</v>
      </c>
      <c r="O234" s="30">
        <f t="shared" si="5"/>
        <v>0.67945930387801745</v>
      </c>
    </row>
    <row r="235" spans="1:15" x14ac:dyDescent="0.2">
      <c r="A235" s="4" t="s">
        <v>472</v>
      </c>
      <c r="B235" s="4" t="s">
        <v>473</v>
      </c>
      <c r="C235" s="5" t="s">
        <v>8</v>
      </c>
      <c r="D235" s="25"/>
      <c r="E235" s="26">
        <v>201839</v>
      </c>
      <c r="F235" s="26">
        <v>267928</v>
      </c>
      <c r="G235" s="26">
        <v>483932</v>
      </c>
      <c r="H235" s="27">
        <f t="shared" si="0"/>
        <v>0.41708132547548005</v>
      </c>
      <c r="I235" s="27">
        <f t="shared" si="1"/>
        <v>0.55364803319474631</v>
      </c>
      <c r="J235" s="28"/>
      <c r="K235" s="26">
        <v>232159</v>
      </c>
      <c r="L235" s="26">
        <v>243882</v>
      </c>
      <c r="M235" s="26">
        <v>491767</v>
      </c>
      <c r="N235" s="27">
        <f t="shared" si="4"/>
        <v>0.47209145794654783</v>
      </c>
      <c r="O235" s="27">
        <f t="shared" si="5"/>
        <v>0.49592998310175346</v>
      </c>
    </row>
    <row r="236" spans="1:15" x14ac:dyDescent="0.2">
      <c r="A236" s="4" t="s">
        <v>474</v>
      </c>
      <c r="B236" s="4" t="s">
        <v>475</v>
      </c>
      <c r="C236" s="8" t="s">
        <v>23</v>
      </c>
      <c r="D236" s="25"/>
      <c r="E236" s="29">
        <v>247611</v>
      </c>
      <c r="F236" s="29">
        <v>96402</v>
      </c>
      <c r="G236" s="29">
        <v>345809</v>
      </c>
      <c r="H236" s="30">
        <f t="shared" si="0"/>
        <v>0.71603399564499481</v>
      </c>
      <c r="I236" s="30">
        <f t="shared" si="1"/>
        <v>0.27877238591245457</v>
      </c>
      <c r="J236" s="33"/>
      <c r="K236" s="29">
        <v>234808</v>
      </c>
      <c r="L236" s="29">
        <v>96237</v>
      </c>
      <c r="M236" s="29">
        <v>332078</v>
      </c>
      <c r="N236" s="30">
        <f t="shared" si="4"/>
        <v>0.70708688922482066</v>
      </c>
      <c r="O236" s="30">
        <f t="shared" si="5"/>
        <v>0.28980239582266815</v>
      </c>
    </row>
    <row r="237" spans="1:15" x14ac:dyDescent="0.2">
      <c r="A237" s="4" t="s">
        <v>476</v>
      </c>
      <c r="B237" s="4" t="s">
        <v>477</v>
      </c>
      <c r="C237" s="5" t="s">
        <v>8</v>
      </c>
      <c r="D237" s="25"/>
      <c r="E237" s="26">
        <v>134016</v>
      </c>
      <c r="F237" s="26">
        <v>183972</v>
      </c>
      <c r="G237" s="26">
        <v>321292</v>
      </c>
      <c r="H237" s="27">
        <f t="shared" si="0"/>
        <v>0.41711589457565079</v>
      </c>
      <c r="I237" s="27">
        <f t="shared" si="1"/>
        <v>0.57260062497665676</v>
      </c>
      <c r="J237" s="33"/>
      <c r="K237" s="26">
        <v>131886</v>
      </c>
      <c r="L237" s="26">
        <v>169517</v>
      </c>
      <c r="M237" s="29">
        <v>303340</v>
      </c>
      <c r="N237" s="27">
        <f t="shared" si="4"/>
        <v>0.43477945539658469</v>
      </c>
      <c r="O237" s="27">
        <f t="shared" si="5"/>
        <v>0.55883497065998544</v>
      </c>
    </row>
    <row r="238" spans="1:15" x14ac:dyDescent="0.2">
      <c r="A238" s="4" t="s">
        <v>478</v>
      </c>
      <c r="B238" s="4" t="s">
        <v>479</v>
      </c>
      <c r="C238" s="5" t="s">
        <v>8</v>
      </c>
      <c r="D238" s="25"/>
      <c r="E238" s="29">
        <v>130053</v>
      </c>
      <c r="F238" s="29">
        <v>183925</v>
      </c>
      <c r="G238" s="29">
        <v>317158</v>
      </c>
      <c r="H238" s="30">
        <f t="shared" si="0"/>
        <v>0.41005744770745178</v>
      </c>
      <c r="I238" s="30">
        <f t="shared" si="1"/>
        <v>0.57991600401061927</v>
      </c>
      <c r="J238" s="33"/>
      <c r="K238" s="29">
        <v>132741</v>
      </c>
      <c r="L238" s="29">
        <v>173567</v>
      </c>
      <c r="M238" s="29">
        <v>307961</v>
      </c>
      <c r="N238" s="30">
        <f t="shared" si="4"/>
        <v>0.43103185143573375</v>
      </c>
      <c r="O238" s="30">
        <f t="shared" si="5"/>
        <v>0.56360058578846017</v>
      </c>
    </row>
    <row r="239" spans="1:15" x14ac:dyDescent="0.2">
      <c r="A239" s="4" t="s">
        <v>480</v>
      </c>
      <c r="B239" s="4" t="s">
        <v>481</v>
      </c>
      <c r="C239" s="8" t="s">
        <v>23</v>
      </c>
      <c r="D239" s="25"/>
      <c r="E239" s="26">
        <v>258202</v>
      </c>
      <c r="F239" s="26">
        <v>99068</v>
      </c>
      <c r="G239" s="26">
        <v>361482</v>
      </c>
      <c r="H239" s="27">
        <f t="shared" si="0"/>
        <v>0.71428729507969968</v>
      </c>
      <c r="I239" s="27">
        <f t="shared" si="1"/>
        <v>0.27406067245395344</v>
      </c>
      <c r="J239" s="33"/>
      <c r="K239" s="26">
        <v>246527</v>
      </c>
      <c r="L239" s="26">
        <v>92456</v>
      </c>
      <c r="M239" s="29">
        <v>340847</v>
      </c>
      <c r="N239" s="27">
        <f t="shared" si="4"/>
        <v>0.72327759962681204</v>
      </c>
      <c r="O239" s="27">
        <f t="shared" si="5"/>
        <v>0.27125367100194514</v>
      </c>
    </row>
    <row r="240" spans="1:15" x14ac:dyDescent="0.2">
      <c r="A240" s="4" t="s">
        <v>482</v>
      </c>
      <c r="B240" s="4" t="s">
        <v>483</v>
      </c>
      <c r="C240" s="5" t="s">
        <v>8</v>
      </c>
      <c r="D240" s="25"/>
      <c r="E240" s="29">
        <v>140633</v>
      </c>
      <c r="F240" s="29">
        <v>208869</v>
      </c>
      <c r="G240" s="29">
        <v>353629</v>
      </c>
      <c r="H240" s="30">
        <f t="shared" si="0"/>
        <v>0.39768514460069732</v>
      </c>
      <c r="I240" s="30">
        <f t="shared" si="1"/>
        <v>0.59064443244190945</v>
      </c>
      <c r="J240" s="33"/>
      <c r="K240" s="29">
        <v>145811</v>
      </c>
      <c r="L240" s="29">
        <v>197347</v>
      </c>
      <c r="M240" s="29">
        <v>345798</v>
      </c>
      <c r="N240" s="30">
        <f t="shared" si="4"/>
        <v>0.42166524965442254</v>
      </c>
      <c r="O240" s="30">
        <f t="shared" si="5"/>
        <v>0.57070023539754422</v>
      </c>
    </row>
    <row r="241" spans="1:15" x14ac:dyDescent="0.2">
      <c r="A241" s="4" t="s">
        <v>484</v>
      </c>
      <c r="B241" s="4" t="s">
        <v>485</v>
      </c>
      <c r="C241" s="5" t="s">
        <v>8</v>
      </c>
      <c r="D241" s="25"/>
      <c r="E241" s="26">
        <v>154073</v>
      </c>
      <c r="F241" s="26">
        <v>214871</v>
      </c>
      <c r="G241" s="26">
        <v>372713</v>
      </c>
      <c r="H241" s="27">
        <f t="shared" si="0"/>
        <v>0.41338241488759447</v>
      </c>
      <c r="I241" s="27">
        <f t="shared" si="1"/>
        <v>0.57650524666432346</v>
      </c>
      <c r="J241" s="33"/>
      <c r="K241" s="26">
        <v>156417</v>
      </c>
      <c r="L241" s="26">
        <v>201389</v>
      </c>
      <c r="M241" s="29">
        <v>360440</v>
      </c>
      <c r="N241" s="27">
        <f t="shared" si="4"/>
        <v>0.43396126955942738</v>
      </c>
      <c r="O241" s="27">
        <f t="shared" si="5"/>
        <v>0.5587309954500056</v>
      </c>
    </row>
    <row r="242" spans="1:15" x14ac:dyDescent="0.2">
      <c r="A242" s="4" t="s">
        <v>486</v>
      </c>
      <c r="B242" s="10" t="s">
        <v>487</v>
      </c>
      <c r="C242" s="5" t="s">
        <v>8</v>
      </c>
      <c r="D242" s="25"/>
      <c r="E242" s="29">
        <v>136091</v>
      </c>
      <c r="F242" s="29">
        <v>202259</v>
      </c>
      <c r="G242" s="29">
        <v>341443</v>
      </c>
      <c r="H242" s="30">
        <f t="shared" si="0"/>
        <v>0.39857604343916847</v>
      </c>
      <c r="I242" s="30">
        <f t="shared" si="1"/>
        <v>0.59236534355661119</v>
      </c>
      <c r="J242" s="33"/>
      <c r="K242" s="29">
        <v>135112</v>
      </c>
      <c r="L242" s="29">
        <v>187346</v>
      </c>
      <c r="M242" s="29">
        <v>324209</v>
      </c>
      <c r="N242" s="30">
        <f t="shared" si="4"/>
        <v>0.41674352038345636</v>
      </c>
      <c r="O242" s="30">
        <f t="shared" si="5"/>
        <v>0.57785564250221311</v>
      </c>
    </row>
    <row r="243" spans="1:15" x14ac:dyDescent="0.2">
      <c r="A243" s="4" t="s">
        <v>488</v>
      </c>
      <c r="B243" s="4" t="s">
        <v>489</v>
      </c>
      <c r="C243" s="5" t="s">
        <v>8</v>
      </c>
      <c r="D243" s="25"/>
      <c r="E243" s="26">
        <v>126223</v>
      </c>
      <c r="F243" s="26">
        <v>178731</v>
      </c>
      <c r="G243" s="26">
        <v>307829</v>
      </c>
      <c r="H243" s="27">
        <f t="shared" si="0"/>
        <v>0.41004258858002335</v>
      </c>
      <c r="I243" s="27">
        <f t="shared" si="1"/>
        <v>0.58061781053766859</v>
      </c>
      <c r="J243" s="33"/>
      <c r="K243" s="26">
        <v>123473</v>
      </c>
      <c r="L243" s="26">
        <v>170247</v>
      </c>
      <c r="M243" s="29">
        <v>295575</v>
      </c>
      <c r="N243" s="27">
        <f t="shared" si="4"/>
        <v>0.41773830669034934</v>
      </c>
      <c r="O243" s="27">
        <f t="shared" si="5"/>
        <v>0.57598579040852571</v>
      </c>
    </row>
    <row r="244" spans="1:15" x14ac:dyDescent="0.2">
      <c r="A244" s="4" t="s">
        <v>490</v>
      </c>
      <c r="B244" s="4" t="s">
        <v>491</v>
      </c>
      <c r="C244" s="5" t="s">
        <v>8</v>
      </c>
      <c r="D244" s="25"/>
      <c r="E244" s="29">
        <v>164739</v>
      </c>
      <c r="F244" s="29">
        <v>216215</v>
      </c>
      <c r="G244" s="29">
        <v>384790</v>
      </c>
      <c r="H244" s="30">
        <f t="shared" si="0"/>
        <v>0.42812703032823096</v>
      </c>
      <c r="I244" s="30">
        <f t="shared" si="1"/>
        <v>0.56190389563138332</v>
      </c>
      <c r="J244" s="33"/>
      <c r="K244" s="29">
        <v>157700</v>
      </c>
      <c r="L244" s="29">
        <v>189404</v>
      </c>
      <c r="M244" s="29">
        <v>349057</v>
      </c>
      <c r="N244" s="30">
        <f t="shared" si="4"/>
        <v>0.45178867634798903</v>
      </c>
      <c r="O244" s="30">
        <f t="shared" si="5"/>
        <v>0.54261624892209581</v>
      </c>
    </row>
    <row r="245" spans="1:15" x14ac:dyDescent="0.2">
      <c r="A245" s="4" t="s">
        <v>492</v>
      </c>
      <c r="B245" s="4" t="s">
        <v>493</v>
      </c>
      <c r="C245" s="5" t="s">
        <v>8</v>
      </c>
      <c r="D245" s="25"/>
      <c r="E245" s="26">
        <v>139439</v>
      </c>
      <c r="F245" s="26">
        <v>197769</v>
      </c>
      <c r="G245" s="26">
        <v>340976</v>
      </c>
      <c r="H245" s="27">
        <f t="shared" si="0"/>
        <v>0.40894080521796256</v>
      </c>
      <c r="I245" s="27">
        <f t="shared" si="1"/>
        <v>0.58000856365257381</v>
      </c>
      <c r="J245" s="33"/>
      <c r="K245" s="26">
        <v>140050</v>
      </c>
      <c r="L245" s="26">
        <v>190074</v>
      </c>
      <c r="M245" s="29">
        <v>332317</v>
      </c>
      <c r="N245" s="27">
        <f t="shared" si="4"/>
        <v>0.42143495517833873</v>
      </c>
      <c r="O245" s="27">
        <f t="shared" si="5"/>
        <v>0.57196592410258884</v>
      </c>
    </row>
    <row r="246" spans="1:15" x14ac:dyDescent="0.2">
      <c r="A246" s="4" t="s">
        <v>494</v>
      </c>
      <c r="B246" s="4" t="s">
        <v>495</v>
      </c>
      <c r="C246" s="5" t="s">
        <v>8</v>
      </c>
      <c r="D246" s="25"/>
      <c r="E246" s="29">
        <v>127563</v>
      </c>
      <c r="F246" s="29">
        <v>205553</v>
      </c>
      <c r="G246" s="29">
        <v>337550</v>
      </c>
      <c r="H246" s="30">
        <f t="shared" si="0"/>
        <v>0.3779084580062213</v>
      </c>
      <c r="I246" s="30">
        <f t="shared" si="1"/>
        <v>0.60895571026514594</v>
      </c>
      <c r="J246" s="33"/>
      <c r="K246" s="29">
        <v>136841</v>
      </c>
      <c r="L246" s="29">
        <v>196872</v>
      </c>
      <c r="M246" s="29">
        <v>336486</v>
      </c>
      <c r="N246" s="30">
        <f t="shared" si="4"/>
        <v>0.40667665222327232</v>
      </c>
      <c r="O246" s="30">
        <f t="shared" si="5"/>
        <v>0.58508229168524095</v>
      </c>
    </row>
    <row r="247" spans="1:15" x14ac:dyDescent="0.2">
      <c r="A247" s="4" t="s">
        <v>496</v>
      </c>
      <c r="B247" s="4" t="s">
        <v>497</v>
      </c>
      <c r="C247" s="8" t="s">
        <v>23</v>
      </c>
      <c r="D247" s="25"/>
      <c r="E247" s="26">
        <v>249654</v>
      </c>
      <c r="F247" s="26">
        <v>66088</v>
      </c>
      <c r="G247" s="26">
        <v>317870</v>
      </c>
      <c r="H247" s="27">
        <f t="shared" si="0"/>
        <v>0.78539654575769968</v>
      </c>
      <c r="I247" s="27">
        <f t="shared" si="1"/>
        <v>0.20790889357284426</v>
      </c>
      <c r="J247" s="33"/>
      <c r="K247" s="26">
        <v>228644</v>
      </c>
      <c r="L247" s="26">
        <v>62552</v>
      </c>
      <c r="M247" s="29">
        <v>292322</v>
      </c>
      <c r="N247" s="27">
        <f t="shared" si="4"/>
        <v>0.78216487298253301</v>
      </c>
      <c r="O247" s="27">
        <f t="shared" si="5"/>
        <v>0.21398321029549605</v>
      </c>
    </row>
    <row r="248" spans="1:15" x14ac:dyDescent="0.2">
      <c r="A248" s="4" t="s">
        <v>498</v>
      </c>
      <c r="B248" s="4" t="s">
        <v>499</v>
      </c>
      <c r="C248" s="5" t="s">
        <v>8</v>
      </c>
      <c r="D248" s="25"/>
      <c r="E248" s="29">
        <v>170093</v>
      </c>
      <c r="F248" s="29">
        <v>216674</v>
      </c>
      <c r="G248" s="29">
        <v>390759</v>
      </c>
      <c r="H248" s="30">
        <f t="shared" si="0"/>
        <v>0.43528875854426896</v>
      </c>
      <c r="I248" s="30">
        <f t="shared" si="1"/>
        <v>0.55449522595768752</v>
      </c>
      <c r="J248" s="33"/>
      <c r="K248" s="29">
        <v>164056</v>
      </c>
      <c r="L248" s="29">
        <v>197399</v>
      </c>
      <c r="M248" s="29">
        <v>363718</v>
      </c>
      <c r="N248" s="30">
        <f t="shared" si="4"/>
        <v>0.45105273866017082</v>
      </c>
      <c r="O248" s="30">
        <f t="shared" si="5"/>
        <v>0.54272540814587122</v>
      </c>
    </row>
    <row r="249" spans="1:15" x14ac:dyDescent="0.2">
      <c r="A249" s="4" t="s">
        <v>500</v>
      </c>
      <c r="B249" s="4" t="s">
        <v>501</v>
      </c>
      <c r="C249" s="5" t="s">
        <v>8</v>
      </c>
      <c r="D249" s="25"/>
      <c r="E249" s="26">
        <v>124827</v>
      </c>
      <c r="F249" s="26">
        <v>188163</v>
      </c>
      <c r="G249" s="26">
        <v>320767</v>
      </c>
      <c r="H249" s="27">
        <f t="shared" si="0"/>
        <v>0.38915162719357044</v>
      </c>
      <c r="I249" s="27">
        <f t="shared" si="1"/>
        <v>0.58660336007132907</v>
      </c>
      <c r="J249" s="28"/>
      <c r="K249" s="26">
        <v>141403</v>
      </c>
      <c r="L249" s="26">
        <v>168887</v>
      </c>
      <c r="M249" s="26">
        <v>316615</v>
      </c>
      <c r="N249" s="27">
        <f t="shared" si="4"/>
        <v>0.44660865720196452</v>
      </c>
      <c r="O249" s="27">
        <f t="shared" si="5"/>
        <v>0.53341439919144706</v>
      </c>
    </row>
    <row r="250" spans="1:15" x14ac:dyDescent="0.2">
      <c r="A250" s="4" t="s">
        <v>502</v>
      </c>
      <c r="B250" s="4" t="s">
        <v>503</v>
      </c>
      <c r="C250" s="5" t="s">
        <v>8</v>
      </c>
      <c r="D250" s="25"/>
      <c r="E250" s="29">
        <v>107994</v>
      </c>
      <c r="F250" s="29">
        <v>152122</v>
      </c>
      <c r="G250" s="29">
        <v>264718</v>
      </c>
      <c r="H250" s="30">
        <f t="shared" si="0"/>
        <v>0.40795865789254981</v>
      </c>
      <c r="I250" s="30">
        <f t="shared" si="1"/>
        <v>0.57465680459961166</v>
      </c>
      <c r="J250" s="28"/>
      <c r="K250" s="29">
        <v>117514</v>
      </c>
      <c r="L250" s="29">
        <v>144470</v>
      </c>
      <c r="M250" s="29">
        <v>267008</v>
      </c>
      <c r="N250" s="30">
        <f t="shared" si="4"/>
        <v>0.44011415388302971</v>
      </c>
      <c r="O250" s="30">
        <f t="shared" si="5"/>
        <v>0.54106993048897412</v>
      </c>
    </row>
    <row r="251" spans="1:15" x14ac:dyDescent="0.2">
      <c r="A251" s="4" t="s">
        <v>504</v>
      </c>
      <c r="B251" s="4" t="s">
        <v>505</v>
      </c>
      <c r="C251" s="8" t="s">
        <v>23</v>
      </c>
      <c r="D251" s="25"/>
      <c r="E251" s="26">
        <v>121971</v>
      </c>
      <c r="F251" s="26">
        <v>140880</v>
      </c>
      <c r="G251" s="26">
        <v>266720</v>
      </c>
      <c r="H251" s="27">
        <f t="shared" si="0"/>
        <v>0.45729979004199162</v>
      </c>
      <c r="I251" s="27">
        <f t="shared" si="1"/>
        <v>0.5281943611277744</v>
      </c>
      <c r="J251" s="28"/>
      <c r="K251" s="26">
        <v>133016</v>
      </c>
      <c r="L251" s="26">
        <v>129890</v>
      </c>
      <c r="M251" s="26">
        <v>267039</v>
      </c>
      <c r="N251" s="27">
        <f t="shared" si="4"/>
        <v>0.49811450761873732</v>
      </c>
      <c r="O251" s="27">
        <f t="shared" si="5"/>
        <v>0.48640835233804802</v>
      </c>
    </row>
    <row r="252" spans="1:15" x14ac:dyDescent="0.2">
      <c r="A252" s="4" t="s">
        <v>506</v>
      </c>
      <c r="B252" s="4" t="s">
        <v>507</v>
      </c>
      <c r="C252" s="5" t="s">
        <v>8</v>
      </c>
      <c r="D252" s="25"/>
      <c r="E252" s="29">
        <v>72116</v>
      </c>
      <c r="F252" s="29">
        <v>182062</v>
      </c>
      <c r="G252" s="29">
        <v>259224</v>
      </c>
      <c r="H252" s="30">
        <f t="shared" si="0"/>
        <v>0.27819954942443603</v>
      </c>
      <c r="I252" s="30">
        <f t="shared" si="1"/>
        <v>0.70233466037095327</v>
      </c>
      <c r="J252" s="28"/>
      <c r="K252" s="29">
        <v>82789</v>
      </c>
      <c r="L252" s="29">
        <v>178619</v>
      </c>
      <c r="M252" s="29">
        <v>266981</v>
      </c>
      <c r="N252" s="30">
        <f t="shared" si="4"/>
        <v>0.3100932276079571</v>
      </c>
      <c r="O252" s="30">
        <f t="shared" si="5"/>
        <v>0.66903262778999251</v>
      </c>
    </row>
    <row r="253" spans="1:15" x14ac:dyDescent="0.2">
      <c r="A253" s="4" t="s">
        <v>508</v>
      </c>
      <c r="B253" s="4" t="s">
        <v>509</v>
      </c>
      <c r="C253" s="5" t="s">
        <v>8</v>
      </c>
      <c r="D253" s="25"/>
      <c r="E253" s="26">
        <v>179148</v>
      </c>
      <c r="F253" s="26">
        <v>173419</v>
      </c>
      <c r="G253" s="26">
        <v>356812</v>
      </c>
      <c r="H253" s="27">
        <f t="shared" si="0"/>
        <v>0.50207952647332488</v>
      </c>
      <c r="I253" s="27">
        <f t="shared" si="1"/>
        <v>0.48602345212604958</v>
      </c>
      <c r="J253" s="28"/>
      <c r="K253" s="26">
        <v>186598</v>
      </c>
      <c r="L253" s="26">
        <v>163977</v>
      </c>
      <c r="M253" s="26">
        <v>353603</v>
      </c>
      <c r="N253" s="27">
        <f t="shared" si="4"/>
        <v>0.52770479888462485</v>
      </c>
      <c r="O253" s="27">
        <f t="shared" si="5"/>
        <v>0.46373192535131208</v>
      </c>
    </row>
    <row r="254" spans="1:15" x14ac:dyDescent="0.2">
      <c r="A254" s="4" t="s">
        <v>510</v>
      </c>
      <c r="B254" s="4" t="s">
        <v>511</v>
      </c>
      <c r="C254" s="8" t="s">
        <v>23</v>
      </c>
      <c r="D254" s="25"/>
      <c r="E254" s="29">
        <v>190413</v>
      </c>
      <c r="F254" s="29">
        <v>156499</v>
      </c>
      <c r="G254" s="29">
        <v>351587</v>
      </c>
      <c r="H254" s="30">
        <f t="shared" si="0"/>
        <v>0.5415814577899638</v>
      </c>
      <c r="I254" s="30">
        <f t="shared" si="1"/>
        <v>0.44512169107503974</v>
      </c>
      <c r="J254" s="28"/>
      <c r="K254" s="29">
        <v>198228</v>
      </c>
      <c r="L254" s="29">
        <v>152557</v>
      </c>
      <c r="M254" s="29">
        <v>354008</v>
      </c>
      <c r="N254" s="30">
        <f t="shared" si="4"/>
        <v>0.55995344737972019</v>
      </c>
      <c r="O254" s="30">
        <f t="shared" si="5"/>
        <v>0.43094223859347813</v>
      </c>
    </row>
    <row r="255" spans="1:15" x14ac:dyDescent="0.2">
      <c r="A255" s="4" t="s">
        <v>512</v>
      </c>
      <c r="B255" s="4" t="s">
        <v>513</v>
      </c>
      <c r="C255" s="8" t="s">
        <v>23</v>
      </c>
      <c r="D255" s="25"/>
      <c r="E255" s="26">
        <v>212236</v>
      </c>
      <c r="F255" s="26">
        <v>110377</v>
      </c>
      <c r="G255" s="26">
        <v>326134</v>
      </c>
      <c r="H255" s="27">
        <f t="shared" si="0"/>
        <v>0.65076318323143245</v>
      </c>
      <c r="I255" s="27">
        <f t="shared" si="1"/>
        <v>0.33844064096353033</v>
      </c>
      <c r="J255" s="28"/>
      <c r="K255" s="26">
        <v>219874</v>
      </c>
      <c r="L255" s="26">
        <v>116242</v>
      </c>
      <c r="M255" s="26">
        <v>340075</v>
      </c>
      <c r="N255" s="27">
        <f t="shared" si="4"/>
        <v>0.64654561493788132</v>
      </c>
      <c r="O255" s="27">
        <f t="shared" si="5"/>
        <v>0.34181283540395502</v>
      </c>
    </row>
    <row r="256" spans="1:15" x14ac:dyDescent="0.2">
      <c r="A256" s="4" t="s">
        <v>514</v>
      </c>
      <c r="B256" s="4" t="s">
        <v>515</v>
      </c>
      <c r="C256" s="5" t="s">
        <v>8</v>
      </c>
      <c r="D256" s="25"/>
      <c r="E256" s="29">
        <v>166906</v>
      </c>
      <c r="F256" s="29">
        <v>141479</v>
      </c>
      <c r="G256" s="29">
        <v>311778</v>
      </c>
      <c r="H256" s="30">
        <f t="shared" si="0"/>
        <v>0.53533604038771176</v>
      </c>
      <c r="I256" s="30">
        <f t="shared" si="1"/>
        <v>0.45378121612172762</v>
      </c>
      <c r="J256" s="28"/>
      <c r="K256" s="29">
        <v>174840</v>
      </c>
      <c r="L256" s="29">
        <v>149736</v>
      </c>
      <c r="M256" s="29">
        <v>328805</v>
      </c>
      <c r="N256" s="30">
        <f t="shared" si="4"/>
        <v>0.53174373869010505</v>
      </c>
      <c r="O256" s="30">
        <f t="shared" si="5"/>
        <v>0.45539453475464181</v>
      </c>
    </row>
    <row r="257" spans="1:15" x14ac:dyDescent="0.2">
      <c r="A257" s="4" t="s">
        <v>516</v>
      </c>
      <c r="B257" s="4" t="s">
        <v>517</v>
      </c>
      <c r="C257" s="5" t="s">
        <v>8</v>
      </c>
      <c r="D257" s="25"/>
      <c r="E257" s="26">
        <v>179028</v>
      </c>
      <c r="F257" s="26">
        <v>163203</v>
      </c>
      <c r="G257" s="26">
        <v>345812</v>
      </c>
      <c r="H257" s="27">
        <f t="shared" si="0"/>
        <v>0.51770326073126438</v>
      </c>
      <c r="I257" s="27">
        <f t="shared" si="1"/>
        <v>0.47194140168646548</v>
      </c>
      <c r="J257" s="28"/>
      <c r="K257" s="26">
        <v>188210</v>
      </c>
      <c r="L257" s="26">
        <v>175525</v>
      </c>
      <c r="M257" s="26">
        <v>367978</v>
      </c>
      <c r="N257" s="27">
        <f t="shared" si="4"/>
        <v>0.51147079444966814</v>
      </c>
      <c r="O257" s="27">
        <f t="shared" si="5"/>
        <v>0.47699862491779399</v>
      </c>
    </row>
    <row r="258" spans="1:15" x14ac:dyDescent="0.2">
      <c r="A258" s="4" t="s">
        <v>518</v>
      </c>
      <c r="B258" s="4" t="s">
        <v>519</v>
      </c>
      <c r="C258" s="5" t="s">
        <v>8</v>
      </c>
      <c r="D258" s="25"/>
      <c r="E258" s="29">
        <v>148622</v>
      </c>
      <c r="F258" s="29">
        <v>180439</v>
      </c>
      <c r="G258" s="29">
        <v>332612</v>
      </c>
      <c r="H258" s="30">
        <f t="shared" ref="H258:H437" si="6">E258/G258</f>
        <v>0.4468329464962178</v>
      </c>
      <c r="I258" s="30">
        <f t="shared" ref="I258:I437" si="7">F258/G258</f>
        <v>0.5424909504167017</v>
      </c>
      <c r="J258" s="28"/>
      <c r="K258" s="29">
        <v>160660</v>
      </c>
      <c r="L258" s="29">
        <v>190307</v>
      </c>
      <c r="M258" s="29">
        <v>355041</v>
      </c>
      <c r="N258" s="30">
        <f t="shared" si="4"/>
        <v>0.45251111843420899</v>
      </c>
      <c r="O258" s="30">
        <f t="shared" si="5"/>
        <v>0.5360141504783954</v>
      </c>
    </row>
    <row r="259" spans="1:15" x14ac:dyDescent="0.2">
      <c r="A259" s="4" t="s">
        <v>520</v>
      </c>
      <c r="B259" s="4" t="s">
        <v>521</v>
      </c>
      <c r="C259" s="5" t="s">
        <v>8</v>
      </c>
      <c r="D259" s="25"/>
      <c r="E259" s="26">
        <v>162305</v>
      </c>
      <c r="F259" s="26">
        <v>172486</v>
      </c>
      <c r="G259" s="26">
        <v>338580</v>
      </c>
      <c r="H259" s="27">
        <f t="shared" si="6"/>
        <v>0.47936972059779076</v>
      </c>
      <c r="I259" s="27">
        <f t="shared" si="7"/>
        <v>0.50943942347451121</v>
      </c>
      <c r="J259" s="28"/>
      <c r="K259" s="26">
        <v>176486</v>
      </c>
      <c r="L259" s="26">
        <v>183854</v>
      </c>
      <c r="M259" s="26">
        <v>363746</v>
      </c>
      <c r="N259" s="27">
        <f t="shared" si="4"/>
        <v>0.48519021515013222</v>
      </c>
      <c r="O259" s="27">
        <f t="shared" si="5"/>
        <v>0.50544610799843848</v>
      </c>
    </row>
    <row r="260" spans="1:15" x14ac:dyDescent="0.2">
      <c r="A260" s="4" t="s">
        <v>522</v>
      </c>
      <c r="B260" s="4" t="s">
        <v>523</v>
      </c>
      <c r="C260" s="8" t="s">
        <v>23</v>
      </c>
      <c r="D260" s="25"/>
      <c r="E260" s="29">
        <v>163391</v>
      </c>
      <c r="F260" s="29">
        <v>99466</v>
      </c>
      <c r="G260" s="29">
        <v>265918</v>
      </c>
      <c r="H260" s="30">
        <f t="shared" si="6"/>
        <v>0.61444129393271607</v>
      </c>
      <c r="I260" s="30">
        <f t="shared" si="7"/>
        <v>0.37404763874577879</v>
      </c>
      <c r="J260" s="28"/>
      <c r="K260" s="29">
        <v>170603</v>
      </c>
      <c r="L260" s="29">
        <v>118187</v>
      </c>
      <c r="M260" s="29">
        <v>292048</v>
      </c>
      <c r="N260" s="30">
        <f t="shared" si="4"/>
        <v>0.58416082287843096</v>
      </c>
      <c r="O260" s="30">
        <f t="shared" si="5"/>
        <v>0.40468347668876348</v>
      </c>
    </row>
    <row r="261" spans="1:15" x14ac:dyDescent="0.2">
      <c r="A261" s="4" t="s">
        <v>524</v>
      </c>
      <c r="B261" s="4" t="s">
        <v>525</v>
      </c>
      <c r="C261" s="5" t="s">
        <v>8</v>
      </c>
      <c r="D261" s="25"/>
      <c r="E261" s="26">
        <v>157635</v>
      </c>
      <c r="F261" s="26">
        <v>178521</v>
      </c>
      <c r="G261" s="26">
        <v>340175</v>
      </c>
      <c r="H261" s="27">
        <f t="shared" si="6"/>
        <v>0.4633938414051591</v>
      </c>
      <c r="I261" s="27">
        <f t="shared" si="7"/>
        <v>0.52479165135591976</v>
      </c>
      <c r="J261" s="28"/>
      <c r="K261" s="26">
        <v>172330</v>
      </c>
      <c r="L261" s="26">
        <v>188352</v>
      </c>
      <c r="M261" s="26">
        <v>364851</v>
      </c>
      <c r="N261" s="27">
        <f t="shared" si="4"/>
        <v>0.47232980038426647</v>
      </c>
      <c r="O261" s="27">
        <f t="shared" si="5"/>
        <v>0.51624361725745582</v>
      </c>
    </row>
    <row r="262" spans="1:15" x14ac:dyDescent="0.2">
      <c r="A262" s="4" t="s">
        <v>526</v>
      </c>
      <c r="B262" s="4" t="s">
        <v>527</v>
      </c>
      <c r="C262" s="8" t="s">
        <v>23</v>
      </c>
      <c r="D262" s="25"/>
      <c r="E262" s="29">
        <v>162232</v>
      </c>
      <c r="F262" s="29">
        <v>43032</v>
      </c>
      <c r="G262" s="29">
        <v>207307</v>
      </c>
      <c r="H262" s="30">
        <f t="shared" si="6"/>
        <v>0.78256884716869179</v>
      </c>
      <c r="I262" s="30">
        <f t="shared" si="7"/>
        <v>0.20757620340847149</v>
      </c>
      <c r="J262" s="28"/>
      <c r="K262" s="29">
        <v>159013</v>
      </c>
      <c r="L262" s="29">
        <v>56502</v>
      </c>
      <c r="M262" s="29">
        <v>217359</v>
      </c>
      <c r="N262" s="30">
        <f t="shared" si="4"/>
        <v>0.73156851108074661</v>
      </c>
      <c r="O262" s="30">
        <f t="shared" si="5"/>
        <v>0.25994782824727752</v>
      </c>
    </row>
    <row r="263" spans="1:15" x14ac:dyDescent="0.2">
      <c r="A263" s="4" t="s">
        <v>528</v>
      </c>
      <c r="B263" s="4" t="s">
        <v>529</v>
      </c>
      <c r="C263" s="8" t="s">
        <v>23</v>
      </c>
      <c r="D263" s="25"/>
      <c r="E263" s="26">
        <v>173082</v>
      </c>
      <c r="F263" s="26">
        <v>77951</v>
      </c>
      <c r="G263" s="26">
        <v>253218</v>
      </c>
      <c r="H263" s="27">
        <f t="shared" si="6"/>
        <v>0.68352960689998343</v>
      </c>
      <c r="I263" s="27">
        <f t="shared" si="7"/>
        <v>0.30784146466680884</v>
      </c>
      <c r="J263" s="28"/>
      <c r="K263" s="26">
        <v>170663</v>
      </c>
      <c r="L263" s="26">
        <v>93912</v>
      </c>
      <c r="M263" s="26">
        <v>266738</v>
      </c>
      <c r="N263" s="27">
        <f t="shared" si="4"/>
        <v>0.63981509946089421</v>
      </c>
      <c r="O263" s="27">
        <f t="shared" si="5"/>
        <v>0.35207581971822538</v>
      </c>
    </row>
    <row r="264" spans="1:15" x14ac:dyDescent="0.2">
      <c r="A264" s="4" t="s">
        <v>530</v>
      </c>
      <c r="B264" s="4" t="s">
        <v>531</v>
      </c>
      <c r="C264" s="8" t="s">
        <v>23</v>
      </c>
      <c r="D264" s="25"/>
      <c r="E264" s="29">
        <v>239483</v>
      </c>
      <c r="F264" s="29">
        <v>31379</v>
      </c>
      <c r="G264" s="29">
        <v>272407</v>
      </c>
      <c r="H264" s="30">
        <f t="shared" si="6"/>
        <v>0.87913673290333949</v>
      </c>
      <c r="I264" s="30">
        <f t="shared" si="7"/>
        <v>0.1151916066767741</v>
      </c>
      <c r="J264" s="28"/>
      <c r="K264" s="29">
        <v>242306</v>
      </c>
      <c r="L264" s="29">
        <v>41562</v>
      </c>
      <c r="M264" s="29">
        <v>285386</v>
      </c>
      <c r="N264" s="30">
        <f t="shared" si="4"/>
        <v>0.84904655449111033</v>
      </c>
      <c r="O264" s="30">
        <f t="shared" si="5"/>
        <v>0.14563433384959318</v>
      </c>
    </row>
    <row r="265" spans="1:15" x14ac:dyDescent="0.2">
      <c r="A265" s="4" t="s">
        <v>532</v>
      </c>
      <c r="B265" s="4" t="s">
        <v>533</v>
      </c>
      <c r="C265" s="5" t="s">
        <v>8</v>
      </c>
      <c r="D265" s="25"/>
      <c r="E265" s="26">
        <v>163493</v>
      </c>
      <c r="F265" s="26">
        <v>183775</v>
      </c>
      <c r="G265" s="26">
        <v>350909</v>
      </c>
      <c r="H265" s="27">
        <f t="shared" si="6"/>
        <v>0.46591281500331994</v>
      </c>
      <c r="I265" s="27">
        <f t="shared" si="7"/>
        <v>0.52371127557286934</v>
      </c>
      <c r="J265" s="28"/>
      <c r="K265" s="26">
        <v>176436</v>
      </c>
      <c r="L265" s="26">
        <v>195675</v>
      </c>
      <c r="M265" s="26">
        <v>375701</v>
      </c>
      <c r="N265" s="27">
        <f t="shared" si="4"/>
        <v>0.46961812718092311</v>
      </c>
      <c r="O265" s="27">
        <f t="shared" si="5"/>
        <v>0.52082640184614892</v>
      </c>
    </row>
    <row r="266" spans="1:15" x14ac:dyDescent="0.2">
      <c r="A266" s="4" t="s">
        <v>534</v>
      </c>
      <c r="B266" s="4" t="s">
        <v>535</v>
      </c>
      <c r="C266" s="8" t="s">
        <v>23</v>
      </c>
      <c r="D266" s="25"/>
      <c r="E266" s="29">
        <v>198197</v>
      </c>
      <c r="F266" s="29">
        <v>96642</v>
      </c>
      <c r="G266" s="29">
        <v>298083</v>
      </c>
      <c r="H266" s="30">
        <f t="shared" si="6"/>
        <v>0.66490541225095023</v>
      </c>
      <c r="I266" s="30">
        <f t="shared" si="7"/>
        <v>0.32421171284508005</v>
      </c>
      <c r="J266" s="28"/>
      <c r="K266" s="29">
        <v>204001</v>
      </c>
      <c r="L266" s="29">
        <v>103354</v>
      </c>
      <c r="M266" s="29">
        <v>310510</v>
      </c>
      <c r="N266" s="30">
        <f t="shared" si="4"/>
        <v>0.65698689253164144</v>
      </c>
      <c r="O266" s="30">
        <f t="shared" si="5"/>
        <v>0.33285240410936845</v>
      </c>
    </row>
    <row r="267" spans="1:15" x14ac:dyDescent="0.2">
      <c r="A267" s="4" t="s">
        <v>536</v>
      </c>
      <c r="B267" s="4" t="s">
        <v>537</v>
      </c>
      <c r="C267" s="8" t="s">
        <v>23</v>
      </c>
      <c r="D267" s="25"/>
      <c r="E267" s="26">
        <v>155915</v>
      </c>
      <c r="F267" s="26">
        <v>111749</v>
      </c>
      <c r="G267" s="26">
        <v>282195</v>
      </c>
      <c r="H267" s="27">
        <f t="shared" si="6"/>
        <v>0.5525080175056255</v>
      </c>
      <c r="I267" s="27">
        <f t="shared" si="7"/>
        <v>0.39599922039724306</v>
      </c>
      <c r="J267" s="28"/>
      <c r="K267" s="26">
        <v>178068</v>
      </c>
      <c r="L267" s="26">
        <v>116302</v>
      </c>
      <c r="M267" s="26">
        <v>298305</v>
      </c>
      <c r="N267" s="27">
        <f t="shared" si="4"/>
        <v>0.59693266958314473</v>
      </c>
      <c r="O267" s="27">
        <f t="shared" si="5"/>
        <v>0.38987613348753791</v>
      </c>
    </row>
    <row r="268" spans="1:15" x14ac:dyDescent="0.2">
      <c r="A268" s="4" t="s">
        <v>538</v>
      </c>
      <c r="B268" s="4" t="s">
        <v>539</v>
      </c>
      <c r="C268" s="5" t="s">
        <v>8</v>
      </c>
      <c r="D268" s="25"/>
      <c r="E268" s="29">
        <v>103438</v>
      </c>
      <c r="F268" s="29">
        <v>119168</v>
      </c>
      <c r="G268" s="29">
        <v>230391</v>
      </c>
      <c r="H268" s="30">
        <f t="shared" si="6"/>
        <v>0.44896719055865897</v>
      </c>
      <c r="I268" s="30">
        <f t="shared" si="7"/>
        <v>0.51724242700452705</v>
      </c>
      <c r="J268" s="28"/>
      <c r="K268" s="29">
        <v>118400</v>
      </c>
      <c r="L268" s="29">
        <v>122705</v>
      </c>
      <c r="M268" s="29">
        <v>244530</v>
      </c>
      <c r="N268" s="30">
        <f t="shared" si="4"/>
        <v>0.4841941684046947</v>
      </c>
      <c r="O268" s="30">
        <f t="shared" si="5"/>
        <v>0.50179937022042287</v>
      </c>
    </row>
    <row r="269" spans="1:15" x14ac:dyDescent="0.2">
      <c r="A269" s="4" t="s">
        <v>540</v>
      </c>
      <c r="B269" s="4" t="s">
        <v>541</v>
      </c>
      <c r="C269" s="8" t="s">
        <v>23</v>
      </c>
      <c r="D269" s="25"/>
      <c r="E269" s="26">
        <v>155982</v>
      </c>
      <c r="F269" s="26">
        <v>104871</v>
      </c>
      <c r="G269" s="26">
        <v>271171</v>
      </c>
      <c r="H269" s="27">
        <f t="shared" si="6"/>
        <v>0.57521637638243028</v>
      </c>
      <c r="I269" s="27">
        <f t="shared" si="7"/>
        <v>0.38673383215756846</v>
      </c>
      <c r="J269" s="28"/>
      <c r="K269" s="26">
        <v>175953</v>
      </c>
      <c r="L269" s="26">
        <v>107825</v>
      </c>
      <c r="M269" s="26">
        <v>287324</v>
      </c>
      <c r="N269" s="27">
        <f t="shared" si="4"/>
        <v>0.61238532110091748</v>
      </c>
      <c r="O269" s="27">
        <f t="shared" si="5"/>
        <v>0.37527321073074299</v>
      </c>
    </row>
    <row r="270" spans="1:15" x14ac:dyDescent="0.2">
      <c r="A270" s="4" t="s">
        <v>542</v>
      </c>
      <c r="B270" s="4" t="s">
        <v>543</v>
      </c>
      <c r="C270" s="8" t="s">
        <v>23</v>
      </c>
      <c r="D270" s="25"/>
      <c r="E270" s="29">
        <v>123205</v>
      </c>
      <c r="F270" s="29">
        <v>60813</v>
      </c>
      <c r="G270" s="29">
        <v>187686</v>
      </c>
      <c r="H270" s="30">
        <f t="shared" si="6"/>
        <v>0.65644214272774737</v>
      </c>
      <c r="I270" s="30">
        <f t="shared" si="7"/>
        <v>0.32401457753908125</v>
      </c>
      <c r="J270" s="28"/>
      <c r="K270" s="29">
        <v>122041</v>
      </c>
      <c r="L270" s="29">
        <v>62527</v>
      </c>
      <c r="M270" s="29">
        <v>189190</v>
      </c>
      <c r="N270" s="30">
        <f t="shared" si="4"/>
        <v>0.64507109255246053</v>
      </c>
      <c r="O270" s="30">
        <f t="shared" si="5"/>
        <v>0.33049844072096835</v>
      </c>
    </row>
    <row r="271" spans="1:15" x14ac:dyDescent="0.2">
      <c r="A271" s="4" t="s">
        <v>544</v>
      </c>
      <c r="B271" s="4" t="s">
        <v>545</v>
      </c>
      <c r="C271" s="5" t="s">
        <v>8</v>
      </c>
      <c r="D271" s="25"/>
      <c r="E271" s="26">
        <v>131542</v>
      </c>
      <c r="F271" s="26">
        <v>155187</v>
      </c>
      <c r="G271" s="26">
        <v>293476</v>
      </c>
      <c r="H271" s="27">
        <f t="shared" si="6"/>
        <v>0.44822063814417534</v>
      </c>
      <c r="I271" s="27">
        <f t="shared" si="7"/>
        <v>0.52878940697024623</v>
      </c>
      <c r="J271" s="28"/>
      <c r="K271" s="26">
        <v>141357</v>
      </c>
      <c r="L271" s="26">
        <v>137916</v>
      </c>
      <c r="M271" s="26">
        <v>285982</v>
      </c>
      <c r="N271" s="27">
        <f t="shared" si="4"/>
        <v>0.49428635368659568</v>
      </c>
      <c r="O271" s="27">
        <f t="shared" si="5"/>
        <v>0.48225412788217442</v>
      </c>
    </row>
    <row r="272" spans="1:15" x14ac:dyDescent="0.2">
      <c r="A272" s="4" t="s">
        <v>546</v>
      </c>
      <c r="B272" s="4" t="s">
        <v>547</v>
      </c>
      <c r="C272" s="5" t="s">
        <v>8</v>
      </c>
      <c r="D272" s="25"/>
      <c r="E272" s="29">
        <v>140501</v>
      </c>
      <c r="F272" s="29">
        <v>138238</v>
      </c>
      <c r="G272" s="29">
        <v>283656</v>
      </c>
      <c r="H272" s="30">
        <f t="shared" si="6"/>
        <v>0.49532179823448119</v>
      </c>
      <c r="I272" s="30">
        <f t="shared" si="7"/>
        <v>0.48734382491468542</v>
      </c>
      <c r="J272" s="28"/>
      <c r="K272" s="29">
        <v>140378</v>
      </c>
      <c r="L272" s="29">
        <v>116908</v>
      </c>
      <c r="M272" s="29">
        <v>262257</v>
      </c>
      <c r="N272" s="30">
        <f t="shared" si="4"/>
        <v>0.53526883934461233</v>
      </c>
      <c r="O272" s="30">
        <f t="shared" si="5"/>
        <v>0.44577647117140817</v>
      </c>
    </row>
    <row r="273" spans="1:15" x14ac:dyDescent="0.2">
      <c r="A273" s="4" t="s">
        <v>548</v>
      </c>
      <c r="B273" s="4" t="s">
        <v>549</v>
      </c>
      <c r="C273" s="5" t="s">
        <v>8</v>
      </c>
      <c r="D273" s="25"/>
      <c r="E273" s="26">
        <v>136124</v>
      </c>
      <c r="F273" s="26">
        <v>109330</v>
      </c>
      <c r="G273" s="26">
        <v>250100</v>
      </c>
      <c r="H273" s="27">
        <f t="shared" si="6"/>
        <v>0.54427828868452621</v>
      </c>
      <c r="I273" s="27">
        <f t="shared" si="7"/>
        <v>0.43714514194322274</v>
      </c>
      <c r="J273" s="28"/>
      <c r="K273" s="26">
        <v>129961</v>
      </c>
      <c r="L273" s="26">
        <v>95477</v>
      </c>
      <c r="M273" s="26">
        <v>230420</v>
      </c>
      <c r="N273" s="27">
        <f t="shared" si="4"/>
        <v>0.56401788039232703</v>
      </c>
      <c r="O273" s="27">
        <f t="shared" si="5"/>
        <v>0.41436073257529726</v>
      </c>
    </row>
    <row r="274" spans="1:15" x14ac:dyDescent="0.2">
      <c r="A274" s="4" t="s">
        <v>550</v>
      </c>
      <c r="B274" s="4" t="s">
        <v>551</v>
      </c>
      <c r="C274" s="5" t="s">
        <v>8</v>
      </c>
      <c r="D274" s="25"/>
      <c r="E274" s="29">
        <v>146708</v>
      </c>
      <c r="F274" s="29">
        <v>145115</v>
      </c>
      <c r="G274" s="29">
        <v>295673</v>
      </c>
      <c r="H274" s="30">
        <f t="shared" si="6"/>
        <v>0.49618328355987867</v>
      </c>
      <c r="I274" s="30">
        <f t="shared" si="7"/>
        <v>0.49079557484112518</v>
      </c>
      <c r="J274" s="28"/>
      <c r="K274" s="29">
        <v>168611</v>
      </c>
      <c r="L274" s="29">
        <v>156394</v>
      </c>
      <c r="M274" s="29">
        <v>328315</v>
      </c>
      <c r="N274" s="30">
        <f t="shared" si="4"/>
        <v>0.51356471681159865</v>
      </c>
      <c r="O274" s="30">
        <f t="shared" si="5"/>
        <v>0.47635350197219134</v>
      </c>
    </row>
    <row r="275" spans="1:15" x14ac:dyDescent="0.2">
      <c r="A275" s="4" t="s">
        <v>552</v>
      </c>
      <c r="B275" s="4" t="s">
        <v>553</v>
      </c>
      <c r="C275" s="5" t="s">
        <v>8</v>
      </c>
      <c r="D275" s="25"/>
      <c r="E275" s="26">
        <v>140817</v>
      </c>
      <c r="F275" s="26">
        <v>128791</v>
      </c>
      <c r="G275" s="26">
        <v>272663</v>
      </c>
      <c r="H275" s="27">
        <f t="shared" si="6"/>
        <v>0.51645071021737454</v>
      </c>
      <c r="I275" s="27">
        <f t="shared" si="7"/>
        <v>0.4723449826342408</v>
      </c>
      <c r="J275" s="28"/>
      <c r="K275" s="26">
        <v>156151</v>
      </c>
      <c r="L275" s="26">
        <v>145890</v>
      </c>
      <c r="M275" s="26">
        <v>304670</v>
      </c>
      <c r="N275" s="27">
        <f t="shared" si="4"/>
        <v>0.51252502707847836</v>
      </c>
      <c r="O275" s="27">
        <f t="shared" si="5"/>
        <v>0.47884596448616534</v>
      </c>
    </row>
    <row r="276" spans="1:15" x14ac:dyDescent="0.2">
      <c r="A276" s="4" t="s">
        <v>554</v>
      </c>
      <c r="B276" s="4" t="s">
        <v>555</v>
      </c>
      <c r="C276" s="8" t="s">
        <v>23</v>
      </c>
      <c r="D276" s="25"/>
      <c r="E276" s="29">
        <v>155451</v>
      </c>
      <c r="F276" s="29">
        <v>147617</v>
      </c>
      <c r="G276" s="29">
        <v>306221</v>
      </c>
      <c r="H276" s="30">
        <f t="shared" si="6"/>
        <v>0.50764317274125548</v>
      </c>
      <c r="I276" s="30">
        <f t="shared" si="7"/>
        <v>0.48206034204055243</v>
      </c>
      <c r="J276" s="28"/>
      <c r="K276" s="29">
        <v>182847</v>
      </c>
      <c r="L276" s="29">
        <v>155946</v>
      </c>
      <c r="M276" s="29">
        <v>341582</v>
      </c>
      <c r="N276" s="30">
        <f t="shared" si="4"/>
        <v>0.5352945998325439</v>
      </c>
      <c r="O276" s="30">
        <f t="shared" si="5"/>
        <v>0.45654045002371318</v>
      </c>
    </row>
    <row r="277" spans="1:15" x14ac:dyDescent="0.2">
      <c r="A277" s="4" t="s">
        <v>556</v>
      </c>
      <c r="B277" s="4" t="s">
        <v>557</v>
      </c>
      <c r="C277" s="8" t="s">
        <v>23</v>
      </c>
      <c r="D277" s="25"/>
      <c r="E277" s="26">
        <v>173508</v>
      </c>
      <c r="F277" s="26">
        <v>131750</v>
      </c>
      <c r="G277" s="26">
        <v>308119</v>
      </c>
      <c r="H277" s="27">
        <f t="shared" si="6"/>
        <v>0.56312009321073997</v>
      </c>
      <c r="I277" s="27">
        <f t="shared" si="7"/>
        <v>0.42759453328097263</v>
      </c>
      <c r="J277" s="28"/>
      <c r="K277" s="26">
        <v>185400</v>
      </c>
      <c r="L277" s="26">
        <v>147199</v>
      </c>
      <c r="M277" s="26">
        <v>334969</v>
      </c>
      <c r="N277" s="27">
        <f t="shared" si="4"/>
        <v>0.55348405374825727</v>
      </c>
      <c r="O277" s="27">
        <f t="shared" si="5"/>
        <v>0.43944066465852066</v>
      </c>
    </row>
    <row r="278" spans="1:15" x14ac:dyDescent="0.2">
      <c r="A278" s="4" t="s">
        <v>558</v>
      </c>
      <c r="B278" s="4" t="s">
        <v>559</v>
      </c>
      <c r="C278" s="8" t="s">
        <v>23</v>
      </c>
      <c r="D278" s="25"/>
      <c r="E278" s="29">
        <v>192374</v>
      </c>
      <c r="F278" s="29">
        <v>19325</v>
      </c>
      <c r="G278" s="29">
        <v>212347</v>
      </c>
      <c r="H278" s="30">
        <f t="shared" si="6"/>
        <v>0.90594168978134848</v>
      </c>
      <c r="I278" s="30">
        <f t="shared" si="7"/>
        <v>9.1006701295521006E-2</v>
      </c>
      <c r="J278" s="28"/>
      <c r="K278" s="29">
        <v>206652</v>
      </c>
      <c r="L278" s="29">
        <v>32558</v>
      </c>
      <c r="M278" s="29">
        <v>240009</v>
      </c>
      <c r="N278" s="30">
        <f t="shared" si="4"/>
        <v>0.86101771183580611</v>
      </c>
      <c r="O278" s="30">
        <f t="shared" si="5"/>
        <v>0.1356532463365957</v>
      </c>
    </row>
    <row r="279" spans="1:15" x14ac:dyDescent="0.2">
      <c r="A279" s="4" t="s">
        <v>560</v>
      </c>
      <c r="B279" s="4" t="s">
        <v>561</v>
      </c>
      <c r="C279" s="8" t="s">
        <v>23</v>
      </c>
      <c r="D279" s="25"/>
      <c r="E279" s="26">
        <v>125496</v>
      </c>
      <c r="F279" s="26">
        <v>57455</v>
      </c>
      <c r="G279" s="26">
        <v>185058</v>
      </c>
      <c r="H279" s="27">
        <f t="shared" si="6"/>
        <v>0.67814414940180912</v>
      </c>
      <c r="I279" s="27">
        <f t="shared" si="7"/>
        <v>0.31047023095461962</v>
      </c>
      <c r="J279" s="28"/>
      <c r="K279" s="26">
        <v>126794</v>
      </c>
      <c r="L279" s="26">
        <v>71419</v>
      </c>
      <c r="M279" s="26">
        <v>199891</v>
      </c>
      <c r="N279" s="27">
        <f t="shared" si="4"/>
        <v>0.63431570205762144</v>
      </c>
      <c r="O279" s="27">
        <f t="shared" si="5"/>
        <v>0.35728972289897992</v>
      </c>
    </row>
    <row r="280" spans="1:15" x14ac:dyDescent="0.2">
      <c r="A280" s="4" t="s">
        <v>562</v>
      </c>
      <c r="B280" s="4" t="s">
        <v>563</v>
      </c>
      <c r="C280" s="8" t="s">
        <v>23</v>
      </c>
      <c r="D280" s="25"/>
      <c r="E280" s="29">
        <v>159552</v>
      </c>
      <c r="F280" s="29">
        <v>18671</v>
      </c>
      <c r="G280" s="29">
        <v>180591</v>
      </c>
      <c r="H280" s="30">
        <f t="shared" si="6"/>
        <v>0.8834991776998854</v>
      </c>
      <c r="I280" s="30">
        <f t="shared" si="7"/>
        <v>0.10338831946221019</v>
      </c>
      <c r="J280" s="28"/>
      <c r="K280" s="29">
        <v>158908</v>
      </c>
      <c r="L280" s="29">
        <v>28083</v>
      </c>
      <c r="M280" s="29">
        <v>188388</v>
      </c>
      <c r="N280" s="30">
        <f t="shared" si="4"/>
        <v>0.84351444890332716</v>
      </c>
      <c r="O280" s="30">
        <f t="shared" si="5"/>
        <v>0.14907000445888274</v>
      </c>
    </row>
    <row r="281" spans="1:15" x14ac:dyDescent="0.2">
      <c r="A281" s="4" t="s">
        <v>564</v>
      </c>
      <c r="B281" s="4" t="s">
        <v>565</v>
      </c>
      <c r="C281" s="8" t="s">
        <v>23</v>
      </c>
      <c r="D281" s="25"/>
      <c r="E281" s="26">
        <v>210018</v>
      </c>
      <c r="F281" s="26">
        <v>23869</v>
      </c>
      <c r="G281" s="26">
        <v>235295</v>
      </c>
      <c r="H281" s="27">
        <f t="shared" si="6"/>
        <v>0.89257315285067684</v>
      </c>
      <c r="I281" s="27">
        <f t="shared" si="7"/>
        <v>0.10144286958923904</v>
      </c>
      <c r="J281" s="28"/>
      <c r="K281" s="26">
        <v>208300</v>
      </c>
      <c r="L281" s="26">
        <v>32971</v>
      </c>
      <c r="M281" s="26">
        <v>242177</v>
      </c>
      <c r="N281" s="27">
        <f t="shared" si="4"/>
        <v>0.86011470948934043</v>
      </c>
      <c r="O281" s="27">
        <f t="shared" si="5"/>
        <v>0.13614422509156526</v>
      </c>
    </row>
    <row r="282" spans="1:15" x14ac:dyDescent="0.2">
      <c r="A282" s="4" t="s">
        <v>566</v>
      </c>
      <c r="B282" s="4" t="s">
        <v>567</v>
      </c>
      <c r="C282" s="8" t="s">
        <v>23</v>
      </c>
      <c r="D282" s="25"/>
      <c r="E282" s="29">
        <v>204281</v>
      </c>
      <c r="F282" s="29">
        <v>33156</v>
      </c>
      <c r="G282" s="29">
        <v>239547</v>
      </c>
      <c r="H282" s="30">
        <f t="shared" si="6"/>
        <v>0.85278045644487299</v>
      </c>
      <c r="I282" s="30">
        <f t="shared" si="7"/>
        <v>0.13841125123670928</v>
      </c>
      <c r="J282" s="28"/>
      <c r="K282" s="29">
        <v>208748</v>
      </c>
      <c r="L282" s="29">
        <v>38289</v>
      </c>
      <c r="M282" s="29">
        <v>248224</v>
      </c>
      <c r="N282" s="30">
        <f t="shared" si="4"/>
        <v>0.84096622405569166</v>
      </c>
      <c r="O282" s="30">
        <f t="shared" si="5"/>
        <v>0.15425180482145159</v>
      </c>
    </row>
    <row r="283" spans="1:15" x14ac:dyDescent="0.2">
      <c r="A283" s="4" t="s">
        <v>568</v>
      </c>
      <c r="B283" s="4" t="s">
        <v>569</v>
      </c>
      <c r="C283" s="8" t="s">
        <v>23</v>
      </c>
      <c r="D283" s="25"/>
      <c r="E283" s="26">
        <v>173650</v>
      </c>
      <c r="F283" s="26">
        <v>58992</v>
      </c>
      <c r="G283" s="26">
        <v>235821</v>
      </c>
      <c r="H283" s="27">
        <f t="shared" si="6"/>
        <v>0.73636359781359595</v>
      </c>
      <c r="I283" s="27">
        <f t="shared" si="7"/>
        <v>0.25015583853855256</v>
      </c>
      <c r="J283" s="28"/>
      <c r="K283" s="26">
        <v>195974</v>
      </c>
      <c r="L283" s="26">
        <v>60682</v>
      </c>
      <c r="M283" s="26">
        <v>259039</v>
      </c>
      <c r="N283" s="27">
        <f t="shared" si="4"/>
        <v>0.75654245113670138</v>
      </c>
      <c r="O283" s="27">
        <f t="shared" si="5"/>
        <v>0.2342581618984014</v>
      </c>
    </row>
    <row r="284" spans="1:15" x14ac:dyDescent="0.2">
      <c r="A284" s="4" t="s">
        <v>570</v>
      </c>
      <c r="B284" s="4" t="s">
        <v>571</v>
      </c>
      <c r="C284" s="5" t="s">
        <v>8</v>
      </c>
      <c r="D284" s="25"/>
      <c r="E284" s="29">
        <v>110407</v>
      </c>
      <c r="F284" s="29">
        <v>101262</v>
      </c>
      <c r="G284" s="29">
        <v>213991</v>
      </c>
      <c r="H284" s="30">
        <f t="shared" si="6"/>
        <v>0.51594225925389381</v>
      </c>
      <c r="I284" s="30">
        <f t="shared" si="7"/>
        <v>0.47320681710913076</v>
      </c>
      <c r="J284" s="28"/>
      <c r="K284" s="29">
        <v>112035</v>
      </c>
      <c r="L284" s="29">
        <v>118106</v>
      </c>
      <c r="M284" s="29">
        <v>231976</v>
      </c>
      <c r="N284" s="30">
        <f t="shared" si="4"/>
        <v>0.48295944408042213</v>
      </c>
      <c r="O284" s="30">
        <f t="shared" si="5"/>
        <v>0.50913025485395036</v>
      </c>
    </row>
    <row r="285" spans="1:15" x14ac:dyDescent="0.2">
      <c r="A285" s="4" t="s">
        <v>572</v>
      </c>
      <c r="B285" s="4" t="s">
        <v>573</v>
      </c>
      <c r="C285" s="8" t="s">
        <v>23</v>
      </c>
      <c r="D285" s="25"/>
      <c r="E285" s="26">
        <v>205919</v>
      </c>
      <c r="F285" s="26">
        <v>57575</v>
      </c>
      <c r="G285" s="26">
        <v>267692</v>
      </c>
      <c r="H285" s="27">
        <f t="shared" si="6"/>
        <v>0.76923852786037683</v>
      </c>
      <c r="I285" s="27">
        <f t="shared" si="7"/>
        <v>0.21507927020605772</v>
      </c>
      <c r="J285" s="28"/>
      <c r="K285" s="26">
        <v>243155</v>
      </c>
      <c r="L285" s="26">
        <v>57238</v>
      </c>
      <c r="M285" s="26">
        <v>303389</v>
      </c>
      <c r="N285" s="27">
        <f t="shared" si="4"/>
        <v>0.80146280847360973</v>
      </c>
      <c r="O285" s="27">
        <f t="shared" si="5"/>
        <v>0.18866208069508122</v>
      </c>
    </row>
    <row r="286" spans="1:15" x14ac:dyDescent="0.2">
      <c r="A286" s="4" t="s">
        <v>574</v>
      </c>
      <c r="B286" s="4" t="s">
        <v>575</v>
      </c>
      <c r="C286" s="8" t="s">
        <v>23</v>
      </c>
      <c r="D286" s="25"/>
      <c r="E286" s="29">
        <v>219361</v>
      </c>
      <c r="F286" s="29">
        <v>10558</v>
      </c>
      <c r="G286" s="29">
        <v>231787</v>
      </c>
      <c r="H286" s="30">
        <f t="shared" si="6"/>
        <v>0.94639043604688788</v>
      </c>
      <c r="I286" s="30">
        <f t="shared" si="7"/>
        <v>4.5550440706338145E-2</v>
      </c>
      <c r="J286" s="28"/>
      <c r="K286" s="29">
        <v>225863</v>
      </c>
      <c r="L286" s="29">
        <v>14845</v>
      </c>
      <c r="M286" s="29">
        <v>242035</v>
      </c>
      <c r="N286" s="30">
        <f t="shared" si="4"/>
        <v>0.93318321730328258</v>
      </c>
      <c r="O286" s="30">
        <f t="shared" si="5"/>
        <v>6.1334104571652857E-2</v>
      </c>
    </row>
    <row r="287" spans="1:15" x14ac:dyDescent="0.2">
      <c r="A287" s="4" t="s">
        <v>576</v>
      </c>
      <c r="B287" s="4" t="s">
        <v>577</v>
      </c>
      <c r="C287" s="8" t="s">
        <v>23</v>
      </c>
      <c r="D287" s="25"/>
      <c r="E287" s="26">
        <v>136783</v>
      </c>
      <c r="F287" s="26">
        <v>30978</v>
      </c>
      <c r="G287" s="26">
        <v>169552</v>
      </c>
      <c r="H287" s="27">
        <f t="shared" si="6"/>
        <v>0.80673185807303949</v>
      </c>
      <c r="I287" s="27">
        <f t="shared" si="7"/>
        <v>0.18270501085212795</v>
      </c>
      <c r="J287" s="28"/>
      <c r="K287" s="26">
        <v>135243</v>
      </c>
      <c r="L287" s="26">
        <v>41288</v>
      </c>
      <c r="M287" s="26">
        <v>177831</v>
      </c>
      <c r="N287" s="27">
        <f t="shared" si="4"/>
        <v>0.76051419606255377</v>
      </c>
      <c r="O287" s="27">
        <f t="shared" si="5"/>
        <v>0.23217549246194422</v>
      </c>
    </row>
    <row r="288" spans="1:15" x14ac:dyDescent="0.2">
      <c r="A288" s="4" t="s">
        <v>578</v>
      </c>
      <c r="B288" s="4" t="s">
        <v>579</v>
      </c>
      <c r="C288" s="8" t="s">
        <v>23</v>
      </c>
      <c r="D288" s="25"/>
      <c r="E288" s="29">
        <v>171366</v>
      </c>
      <c r="F288" s="29">
        <v>5315</v>
      </c>
      <c r="G288" s="29">
        <v>177129</v>
      </c>
      <c r="H288" s="30">
        <f t="shared" si="6"/>
        <v>0.96746439035956844</v>
      </c>
      <c r="I288" s="30">
        <f t="shared" si="7"/>
        <v>3.0006379531302044E-2</v>
      </c>
      <c r="J288" s="28"/>
      <c r="K288" s="29">
        <v>170498</v>
      </c>
      <c r="L288" s="29">
        <v>9382</v>
      </c>
      <c r="M288" s="29">
        <v>180295</v>
      </c>
      <c r="N288" s="30">
        <f t="shared" si="4"/>
        <v>0.94566127735100802</v>
      </c>
      <c r="O288" s="30">
        <f t="shared" si="5"/>
        <v>5.2036939460328904E-2</v>
      </c>
    </row>
    <row r="289" spans="1:15" x14ac:dyDescent="0.2">
      <c r="A289" s="4" t="s">
        <v>580</v>
      </c>
      <c r="B289" s="4" t="s">
        <v>581</v>
      </c>
      <c r="C289" s="8" t="s">
        <v>23</v>
      </c>
      <c r="D289" s="25"/>
      <c r="E289" s="26">
        <v>197365</v>
      </c>
      <c r="F289" s="26">
        <v>68373</v>
      </c>
      <c r="G289" s="26">
        <v>267814</v>
      </c>
      <c r="H289" s="27">
        <f t="shared" si="6"/>
        <v>0.73694803109620854</v>
      </c>
      <c r="I289" s="27">
        <f t="shared" si="7"/>
        <v>0.25530032037160116</v>
      </c>
      <c r="J289" s="28"/>
      <c r="K289" s="26">
        <v>205897</v>
      </c>
      <c r="L289" s="26">
        <v>74591</v>
      </c>
      <c r="M289" s="26">
        <v>282279</v>
      </c>
      <c r="N289" s="27">
        <f t="shared" si="4"/>
        <v>0.72940955579409028</v>
      </c>
      <c r="O289" s="27">
        <f t="shared" si="5"/>
        <v>0.26424565766493435</v>
      </c>
    </row>
    <row r="290" spans="1:15" x14ac:dyDescent="0.2">
      <c r="A290" s="4" t="s">
        <v>582</v>
      </c>
      <c r="B290" s="4" t="s">
        <v>583</v>
      </c>
      <c r="C290" s="8" t="s">
        <v>23</v>
      </c>
      <c r="D290" s="25"/>
      <c r="E290" s="29">
        <v>168020</v>
      </c>
      <c r="F290" s="29">
        <v>123190</v>
      </c>
      <c r="G290" s="29">
        <v>294401</v>
      </c>
      <c r="H290" s="30">
        <f t="shared" si="6"/>
        <v>0.57071817011491133</v>
      </c>
      <c r="I290" s="30">
        <f t="shared" si="7"/>
        <v>0.41844287213698322</v>
      </c>
      <c r="J290" s="28"/>
      <c r="K290" s="29">
        <v>181604</v>
      </c>
      <c r="L290" s="29">
        <v>128934</v>
      </c>
      <c r="M290" s="29">
        <v>313081</v>
      </c>
      <c r="N290" s="30">
        <f t="shared" si="4"/>
        <v>0.58005436292844348</v>
      </c>
      <c r="O290" s="30">
        <f t="shared" si="5"/>
        <v>0.41182313842104756</v>
      </c>
    </row>
    <row r="291" spans="1:15" x14ac:dyDescent="0.2">
      <c r="A291" s="4" t="s">
        <v>584</v>
      </c>
      <c r="B291" s="4" t="s">
        <v>585</v>
      </c>
      <c r="C291" s="8" t="s">
        <v>23</v>
      </c>
      <c r="D291" s="25"/>
      <c r="E291" s="26">
        <v>149610</v>
      </c>
      <c r="F291" s="26">
        <v>137144</v>
      </c>
      <c r="G291" s="26">
        <v>290894</v>
      </c>
      <c r="H291" s="27">
        <f t="shared" si="6"/>
        <v>0.51431105488597217</v>
      </c>
      <c r="I291" s="27">
        <f t="shared" si="7"/>
        <v>0.47145695682963557</v>
      </c>
      <c r="J291" s="28"/>
      <c r="K291" s="26">
        <v>162618</v>
      </c>
      <c r="L291" s="26">
        <v>146308</v>
      </c>
      <c r="M291" s="26">
        <v>312234</v>
      </c>
      <c r="N291" s="27">
        <f t="shared" si="4"/>
        <v>0.52082092276946135</v>
      </c>
      <c r="O291" s="27">
        <f t="shared" si="5"/>
        <v>0.46858445909157875</v>
      </c>
    </row>
    <row r="292" spans="1:15" x14ac:dyDescent="0.2">
      <c r="A292" s="4" t="s">
        <v>586</v>
      </c>
      <c r="B292" s="4" t="s">
        <v>587</v>
      </c>
      <c r="C292" s="5" t="s">
        <v>8</v>
      </c>
      <c r="D292" s="25"/>
      <c r="E292" s="29">
        <v>157967</v>
      </c>
      <c r="F292" s="29">
        <v>138981</v>
      </c>
      <c r="G292" s="29">
        <v>303112</v>
      </c>
      <c r="H292" s="30">
        <f t="shared" si="6"/>
        <v>0.52115059779883344</v>
      </c>
      <c r="I292" s="30">
        <f t="shared" si="7"/>
        <v>0.458513684710602</v>
      </c>
      <c r="J292" s="28"/>
      <c r="K292" s="29">
        <v>175763</v>
      </c>
      <c r="L292" s="29">
        <v>150323</v>
      </c>
      <c r="M292" s="29">
        <v>331779</v>
      </c>
      <c r="N292" s="30">
        <f t="shared" si="4"/>
        <v>0.52975926746418545</v>
      </c>
      <c r="O292" s="30">
        <f t="shared" si="5"/>
        <v>0.45308172006064279</v>
      </c>
    </row>
    <row r="293" spans="1:15" x14ac:dyDescent="0.2">
      <c r="A293" s="4" t="s">
        <v>588</v>
      </c>
      <c r="B293" s="4" t="s">
        <v>589</v>
      </c>
      <c r="C293" s="8" t="s">
        <v>23</v>
      </c>
      <c r="D293" s="25"/>
      <c r="E293" s="26">
        <v>186460</v>
      </c>
      <c r="F293" s="26">
        <v>122230</v>
      </c>
      <c r="G293" s="26">
        <v>315032</v>
      </c>
      <c r="H293" s="27">
        <f t="shared" si="6"/>
        <v>0.59187638081210803</v>
      </c>
      <c r="I293" s="27">
        <f t="shared" si="7"/>
        <v>0.38799233093780949</v>
      </c>
      <c r="J293" s="28"/>
      <c r="K293" s="26">
        <v>198366</v>
      </c>
      <c r="L293" s="26">
        <v>135529</v>
      </c>
      <c r="M293" s="26">
        <v>340274</v>
      </c>
      <c r="N293" s="27">
        <f t="shared" si="4"/>
        <v>0.58295961489858172</v>
      </c>
      <c r="O293" s="27">
        <f t="shared" si="5"/>
        <v>0.39829372799567409</v>
      </c>
    </row>
    <row r="294" spans="1:15" x14ac:dyDescent="0.2">
      <c r="A294" s="4" t="s">
        <v>590</v>
      </c>
      <c r="B294" s="4" t="s">
        <v>591</v>
      </c>
      <c r="C294" s="5" t="s">
        <v>8</v>
      </c>
      <c r="D294" s="25"/>
      <c r="E294" s="29">
        <v>138889</v>
      </c>
      <c r="F294" s="29">
        <v>122471</v>
      </c>
      <c r="G294" s="29">
        <v>265850</v>
      </c>
      <c r="H294" s="30">
        <f t="shared" si="6"/>
        <v>0.52243370321609928</v>
      </c>
      <c r="I294" s="30">
        <f t="shared" si="7"/>
        <v>0.46067707353770926</v>
      </c>
      <c r="J294" s="28"/>
      <c r="K294" s="29">
        <v>150137</v>
      </c>
      <c r="L294" s="29">
        <v>135821</v>
      </c>
      <c r="M294" s="29">
        <v>290642</v>
      </c>
      <c r="N294" s="30">
        <f t="shared" si="4"/>
        <v>0.51657021352729471</v>
      </c>
      <c r="O294" s="30">
        <f t="shared" si="5"/>
        <v>0.46731373992747088</v>
      </c>
    </row>
    <row r="295" spans="1:15" x14ac:dyDescent="0.2">
      <c r="A295" s="4" t="s">
        <v>592</v>
      </c>
      <c r="B295" s="4" t="s">
        <v>593</v>
      </c>
      <c r="C295" s="5" t="s">
        <v>8</v>
      </c>
      <c r="D295" s="25"/>
      <c r="E295" s="26">
        <v>135172</v>
      </c>
      <c r="F295" s="26">
        <v>136500</v>
      </c>
      <c r="G295" s="26">
        <v>277217</v>
      </c>
      <c r="H295" s="27">
        <f t="shared" si="6"/>
        <v>0.48760357409538374</v>
      </c>
      <c r="I295" s="27">
        <f t="shared" si="7"/>
        <v>0.49239404509824436</v>
      </c>
      <c r="J295" s="28"/>
      <c r="K295" s="26">
        <v>148425</v>
      </c>
      <c r="L295" s="26">
        <v>148580</v>
      </c>
      <c r="M295" s="26">
        <v>302473</v>
      </c>
      <c r="N295" s="27">
        <f t="shared" si="4"/>
        <v>0.49070495548362997</v>
      </c>
      <c r="O295" s="27">
        <f t="shared" si="5"/>
        <v>0.49121739791650826</v>
      </c>
    </row>
    <row r="296" spans="1:15" x14ac:dyDescent="0.2">
      <c r="A296" s="4" t="s">
        <v>594</v>
      </c>
      <c r="B296" s="4" t="s">
        <v>595</v>
      </c>
      <c r="C296" s="5" t="s">
        <v>8</v>
      </c>
      <c r="D296" s="25"/>
      <c r="E296" s="29">
        <v>133949</v>
      </c>
      <c r="F296" s="29">
        <v>137312</v>
      </c>
      <c r="G296" s="29">
        <v>276891</v>
      </c>
      <c r="H296" s="30">
        <f t="shared" si="6"/>
        <v>0.48376075784333905</v>
      </c>
      <c r="I296" s="30">
        <f t="shared" si="7"/>
        <v>0.49590633137227286</v>
      </c>
      <c r="J296" s="28"/>
      <c r="K296" s="29">
        <v>150412</v>
      </c>
      <c r="L296" s="29">
        <v>147913</v>
      </c>
      <c r="M296" s="29">
        <v>303285</v>
      </c>
      <c r="N296" s="30">
        <f t="shared" si="4"/>
        <v>0.49594276011012745</v>
      </c>
      <c r="O296" s="30">
        <f t="shared" si="5"/>
        <v>0.48770298564056908</v>
      </c>
    </row>
    <row r="297" spans="1:15" x14ac:dyDescent="0.2">
      <c r="A297" s="4" t="s">
        <v>596</v>
      </c>
      <c r="B297" s="4" t="s">
        <v>597</v>
      </c>
      <c r="C297" s="5" t="s">
        <v>8</v>
      </c>
      <c r="D297" s="25"/>
      <c r="E297" s="26">
        <v>171502</v>
      </c>
      <c r="F297" s="26">
        <v>123534</v>
      </c>
      <c r="G297" s="26">
        <v>300621</v>
      </c>
      <c r="H297" s="27">
        <f t="shared" si="6"/>
        <v>0.57049241403627826</v>
      </c>
      <c r="I297" s="27">
        <f t="shared" si="7"/>
        <v>0.41092937619128406</v>
      </c>
      <c r="J297" s="28"/>
      <c r="K297" s="26">
        <v>181776</v>
      </c>
      <c r="L297" s="26">
        <v>135928</v>
      </c>
      <c r="M297" s="26">
        <v>323571</v>
      </c>
      <c r="N297" s="27">
        <f t="shared" si="4"/>
        <v>0.56178087653096231</v>
      </c>
      <c r="O297" s="27">
        <f t="shared" si="5"/>
        <v>0.42008709062307809</v>
      </c>
    </row>
    <row r="298" spans="1:15" x14ac:dyDescent="0.2">
      <c r="A298" s="4" t="s">
        <v>598</v>
      </c>
      <c r="B298" s="4" t="s">
        <v>599</v>
      </c>
      <c r="C298" s="8" t="s">
        <v>23</v>
      </c>
      <c r="D298" s="25"/>
      <c r="E298" s="29">
        <v>187753</v>
      </c>
      <c r="F298" s="29">
        <v>125897</v>
      </c>
      <c r="G298" s="29">
        <v>319454</v>
      </c>
      <c r="H298" s="30">
        <f t="shared" si="6"/>
        <v>0.5877309409179412</v>
      </c>
      <c r="I298" s="30">
        <f t="shared" si="7"/>
        <v>0.39410055907892844</v>
      </c>
      <c r="J298" s="28"/>
      <c r="K298" s="29">
        <v>201012</v>
      </c>
      <c r="L298" s="29">
        <v>136481</v>
      </c>
      <c r="M298" s="29">
        <v>342056</v>
      </c>
      <c r="N298" s="30">
        <f t="shared" si="4"/>
        <v>0.58765816123675652</v>
      </c>
      <c r="O298" s="30">
        <f t="shared" si="5"/>
        <v>0.39900191781462685</v>
      </c>
    </row>
    <row r="299" spans="1:15" x14ac:dyDescent="0.2">
      <c r="A299" s="4" t="s">
        <v>600</v>
      </c>
      <c r="B299" s="4" t="s">
        <v>601</v>
      </c>
      <c r="C299" s="8" t="s">
        <v>23</v>
      </c>
      <c r="D299" s="25"/>
      <c r="E299" s="26">
        <v>193362</v>
      </c>
      <c r="F299" s="26">
        <v>103743</v>
      </c>
      <c r="G299" s="26">
        <v>302388</v>
      </c>
      <c r="H299" s="27">
        <f t="shared" si="6"/>
        <v>0.63944997817373705</v>
      </c>
      <c r="I299" s="27">
        <f t="shared" si="7"/>
        <v>0.34307909044009682</v>
      </c>
      <c r="J299" s="28"/>
      <c r="K299" s="26">
        <v>208504</v>
      </c>
      <c r="L299" s="26">
        <v>115099</v>
      </c>
      <c r="M299" s="26">
        <v>328709</v>
      </c>
      <c r="N299" s="27">
        <f t="shared" si="4"/>
        <v>0.63431180770833773</v>
      </c>
      <c r="O299" s="27">
        <f t="shared" si="5"/>
        <v>0.35015469609898114</v>
      </c>
    </row>
    <row r="300" spans="1:15" x14ac:dyDescent="0.2">
      <c r="A300" s="4" t="s">
        <v>602</v>
      </c>
      <c r="B300" s="4" t="s">
        <v>603</v>
      </c>
      <c r="C300" s="5" t="s">
        <v>8</v>
      </c>
      <c r="D300" s="25"/>
      <c r="E300" s="29">
        <v>140176</v>
      </c>
      <c r="F300" s="29">
        <v>180703</v>
      </c>
      <c r="G300" s="29">
        <v>326828</v>
      </c>
      <c r="H300" s="30">
        <f t="shared" si="6"/>
        <v>0.42889838079968667</v>
      </c>
      <c r="I300" s="30">
        <f t="shared" si="7"/>
        <v>0.55289938438567077</v>
      </c>
      <c r="J300" s="28"/>
      <c r="K300" s="29">
        <v>153862</v>
      </c>
      <c r="L300" s="29">
        <v>186554</v>
      </c>
      <c r="M300" s="29">
        <v>345902</v>
      </c>
      <c r="N300" s="30">
        <f t="shared" si="4"/>
        <v>0.44481384900925697</v>
      </c>
      <c r="O300" s="30">
        <f t="shared" si="5"/>
        <v>0.53932616752721874</v>
      </c>
    </row>
    <row r="301" spans="1:15" x14ac:dyDescent="0.2">
      <c r="A301" s="4" t="s">
        <v>604</v>
      </c>
      <c r="B301" s="4" t="s">
        <v>605</v>
      </c>
      <c r="C301" s="5" t="s">
        <v>8</v>
      </c>
      <c r="D301" s="25"/>
      <c r="E301" s="26">
        <v>168195</v>
      </c>
      <c r="F301" s="26">
        <v>190504</v>
      </c>
      <c r="G301" s="26">
        <v>363593</v>
      </c>
      <c r="H301" s="27">
        <f t="shared" si="6"/>
        <v>0.46259141402612264</v>
      </c>
      <c r="I301" s="27">
        <f t="shared" si="7"/>
        <v>0.52394848085634216</v>
      </c>
      <c r="J301" s="28"/>
      <c r="K301" s="26">
        <v>171529</v>
      </c>
      <c r="L301" s="26">
        <v>188091</v>
      </c>
      <c r="M301" s="26">
        <v>363285</v>
      </c>
      <c r="N301" s="27">
        <f t="shared" si="4"/>
        <v>0.47216097554261804</v>
      </c>
      <c r="O301" s="27">
        <f t="shared" si="5"/>
        <v>0.51775052644617858</v>
      </c>
    </row>
    <row r="302" spans="1:15" x14ac:dyDescent="0.2">
      <c r="A302" s="4" t="s">
        <v>606</v>
      </c>
      <c r="B302" s="4" t="s">
        <v>607</v>
      </c>
      <c r="C302" s="5" t="s">
        <v>8</v>
      </c>
      <c r="D302" s="25"/>
      <c r="E302" s="29">
        <v>155027</v>
      </c>
      <c r="F302" s="29">
        <v>194409</v>
      </c>
      <c r="G302" s="29">
        <v>355117</v>
      </c>
      <c r="H302" s="30">
        <f t="shared" si="6"/>
        <v>0.43655189698043179</v>
      </c>
      <c r="I302" s="30">
        <f t="shared" si="7"/>
        <v>0.54745055854830948</v>
      </c>
      <c r="J302" s="28"/>
      <c r="K302" s="29">
        <v>160301</v>
      </c>
      <c r="L302" s="29">
        <v>196040</v>
      </c>
      <c r="M302" s="29">
        <v>361562</v>
      </c>
      <c r="N302" s="30">
        <f t="shared" si="4"/>
        <v>0.44335687931806994</v>
      </c>
      <c r="O302" s="30">
        <f t="shared" si="5"/>
        <v>0.54220299699636576</v>
      </c>
    </row>
    <row r="303" spans="1:15" x14ac:dyDescent="0.2">
      <c r="A303" s="4" t="s">
        <v>608</v>
      </c>
      <c r="B303" s="4" t="s">
        <v>609</v>
      </c>
      <c r="C303" s="8" t="s">
        <v>23</v>
      </c>
      <c r="D303" s="25"/>
      <c r="E303" s="26">
        <v>217969</v>
      </c>
      <c r="F303" s="26">
        <v>90434</v>
      </c>
      <c r="G303" s="26">
        <v>312938</v>
      </c>
      <c r="H303" s="27">
        <f t="shared" si="6"/>
        <v>0.69652455118905343</v>
      </c>
      <c r="I303" s="27">
        <f t="shared" si="7"/>
        <v>0.28898376036147733</v>
      </c>
      <c r="J303" s="28"/>
      <c r="K303" s="26">
        <v>209277</v>
      </c>
      <c r="L303" s="26">
        <v>97330</v>
      </c>
      <c r="M303" s="26">
        <v>310574</v>
      </c>
      <c r="N303" s="27">
        <f t="shared" si="4"/>
        <v>0.67383940703342837</v>
      </c>
      <c r="O303" s="27">
        <f t="shared" si="5"/>
        <v>0.31338746965296516</v>
      </c>
    </row>
    <row r="304" spans="1:15" x14ac:dyDescent="0.2">
      <c r="A304" s="4" t="s">
        <v>610</v>
      </c>
      <c r="B304" s="4" t="s">
        <v>611</v>
      </c>
      <c r="C304" s="5" t="s">
        <v>8</v>
      </c>
      <c r="D304" s="25"/>
      <c r="E304" s="29">
        <v>139228</v>
      </c>
      <c r="F304" s="29">
        <v>185512</v>
      </c>
      <c r="G304" s="29">
        <v>331390</v>
      </c>
      <c r="H304" s="30">
        <f t="shared" si="6"/>
        <v>0.4201333775913576</v>
      </c>
      <c r="I304" s="30">
        <f t="shared" si="7"/>
        <v>0.55979963185370707</v>
      </c>
      <c r="J304" s="28"/>
      <c r="K304" s="29">
        <v>150312</v>
      </c>
      <c r="L304" s="29">
        <v>187369</v>
      </c>
      <c r="M304" s="29">
        <v>344253</v>
      </c>
      <c r="N304" s="30">
        <f t="shared" si="4"/>
        <v>0.43663236050230497</v>
      </c>
      <c r="O304" s="30">
        <f t="shared" si="5"/>
        <v>0.54427702881311124</v>
      </c>
    </row>
    <row r="305" spans="1:15" x14ac:dyDescent="0.2">
      <c r="A305" s="4" t="s">
        <v>612</v>
      </c>
      <c r="B305" s="4" t="s">
        <v>613</v>
      </c>
      <c r="C305" s="5" t="s">
        <v>8</v>
      </c>
      <c r="D305" s="25"/>
      <c r="E305" s="26">
        <v>159592</v>
      </c>
      <c r="F305" s="26">
        <v>195075</v>
      </c>
      <c r="G305" s="26">
        <v>362052</v>
      </c>
      <c r="H305" s="27">
        <f t="shared" si="6"/>
        <v>0.44079855932297018</v>
      </c>
      <c r="I305" s="27">
        <f t="shared" si="7"/>
        <v>0.5388038182360545</v>
      </c>
      <c r="J305" s="28"/>
      <c r="K305" s="26">
        <v>171746</v>
      </c>
      <c r="L305" s="26">
        <v>194685</v>
      </c>
      <c r="M305" s="26">
        <v>373037</v>
      </c>
      <c r="N305" s="27">
        <f t="shared" si="4"/>
        <v>0.46039937057181995</v>
      </c>
      <c r="O305" s="27">
        <f t="shared" si="5"/>
        <v>0.52189193029109715</v>
      </c>
    </row>
    <row r="306" spans="1:15" x14ac:dyDescent="0.2">
      <c r="A306" s="4" t="s">
        <v>614</v>
      </c>
      <c r="B306" s="4" t="s">
        <v>615</v>
      </c>
      <c r="C306" s="5" t="s">
        <v>8</v>
      </c>
      <c r="D306" s="25"/>
      <c r="E306" s="29">
        <v>136522</v>
      </c>
      <c r="F306" s="29">
        <v>176593</v>
      </c>
      <c r="G306" s="29">
        <v>319939</v>
      </c>
      <c r="H306" s="30">
        <f t="shared" si="6"/>
        <v>0.42671259208786677</v>
      </c>
      <c r="I306" s="30">
        <f t="shared" si="7"/>
        <v>0.551958342058955</v>
      </c>
      <c r="J306" s="28"/>
      <c r="K306" s="29">
        <v>149059</v>
      </c>
      <c r="L306" s="29">
        <v>177089</v>
      </c>
      <c r="M306" s="29">
        <v>333655</v>
      </c>
      <c r="N306" s="30">
        <f t="shared" si="4"/>
        <v>0.44674589021594163</v>
      </c>
      <c r="O306" s="30">
        <f t="shared" si="5"/>
        <v>0.5307548215971587</v>
      </c>
    </row>
    <row r="307" spans="1:15" x14ac:dyDescent="0.2">
      <c r="A307" s="4" t="s">
        <v>616</v>
      </c>
      <c r="B307" s="4" t="s">
        <v>617</v>
      </c>
      <c r="C307" s="5" t="s">
        <v>8</v>
      </c>
      <c r="D307" s="25"/>
      <c r="E307" s="26">
        <v>147660</v>
      </c>
      <c r="F307" s="26">
        <v>179312</v>
      </c>
      <c r="G307" s="26">
        <v>333866</v>
      </c>
      <c r="H307" s="27">
        <f t="shared" si="6"/>
        <v>0.44227324735073353</v>
      </c>
      <c r="I307" s="27">
        <f t="shared" si="7"/>
        <v>0.53707774975589007</v>
      </c>
      <c r="J307" s="28"/>
      <c r="K307" s="26">
        <v>159267</v>
      </c>
      <c r="L307" s="26">
        <v>173085</v>
      </c>
      <c r="M307" s="26">
        <v>339811</v>
      </c>
      <c r="N307" s="27">
        <f t="shared" si="4"/>
        <v>0.46869289104825917</v>
      </c>
      <c r="O307" s="27">
        <f t="shared" si="5"/>
        <v>0.50935667179696953</v>
      </c>
    </row>
    <row r="308" spans="1:15" x14ac:dyDescent="0.2">
      <c r="A308" s="4" t="s">
        <v>618</v>
      </c>
      <c r="B308" s="4"/>
      <c r="C308" s="5" t="s">
        <v>8</v>
      </c>
      <c r="D308" s="25"/>
      <c r="E308" s="29">
        <v>124478</v>
      </c>
      <c r="F308" s="29">
        <v>211436</v>
      </c>
      <c r="G308" s="29">
        <v>341543</v>
      </c>
      <c r="H308" s="30">
        <f t="shared" si="6"/>
        <v>0.36445776959270137</v>
      </c>
      <c r="I308" s="30">
        <f t="shared" si="7"/>
        <v>0.61906114310643168</v>
      </c>
      <c r="J308" s="28"/>
      <c r="K308" s="29">
        <v>133182</v>
      </c>
      <c r="L308" s="29">
        <v>210494</v>
      </c>
      <c r="M308" s="29">
        <v>349366</v>
      </c>
      <c r="N308" s="30">
        <f t="shared" si="4"/>
        <v>0.38121053565601692</v>
      </c>
      <c r="O308" s="30">
        <f t="shared" si="5"/>
        <v>0.602502819392843</v>
      </c>
    </row>
    <row r="309" spans="1:15" x14ac:dyDescent="0.2">
      <c r="A309" s="4" t="s">
        <v>619</v>
      </c>
      <c r="B309" s="4" t="s">
        <v>620</v>
      </c>
      <c r="C309" s="8" t="s">
        <v>23</v>
      </c>
      <c r="D309" s="25"/>
      <c r="E309" s="26">
        <v>217146</v>
      </c>
      <c r="F309" s="26">
        <v>99223</v>
      </c>
      <c r="G309" s="26">
        <v>321454</v>
      </c>
      <c r="H309" s="27">
        <f t="shared" si="6"/>
        <v>0.67551189283692226</v>
      </c>
      <c r="I309" s="27">
        <f t="shared" si="7"/>
        <v>0.30866935860185285</v>
      </c>
      <c r="J309" s="28"/>
      <c r="K309" s="26">
        <v>227380</v>
      </c>
      <c r="L309" s="26">
        <v>107587</v>
      </c>
      <c r="M309" s="26">
        <v>340297</v>
      </c>
      <c r="N309" s="27">
        <f t="shared" si="4"/>
        <v>0.66818103010017715</v>
      </c>
      <c r="O309" s="27">
        <f t="shared" si="5"/>
        <v>0.31615618121817118</v>
      </c>
    </row>
    <row r="310" spans="1:15" x14ac:dyDescent="0.2">
      <c r="A310" s="4" t="s">
        <v>621</v>
      </c>
      <c r="B310" s="4" t="s">
        <v>622</v>
      </c>
      <c r="C310" s="5" t="s">
        <v>8</v>
      </c>
      <c r="D310" s="25"/>
      <c r="E310" s="29">
        <v>172942</v>
      </c>
      <c r="F310" s="29">
        <v>179813</v>
      </c>
      <c r="G310" s="29">
        <v>358592</v>
      </c>
      <c r="H310" s="30">
        <f t="shared" si="6"/>
        <v>0.48228069784044264</v>
      </c>
      <c r="I310" s="30">
        <f t="shared" si="7"/>
        <v>0.50144174995538104</v>
      </c>
      <c r="J310" s="28"/>
      <c r="K310" s="29">
        <v>183239</v>
      </c>
      <c r="L310" s="29">
        <v>183226</v>
      </c>
      <c r="M310" s="29">
        <v>371572</v>
      </c>
      <c r="N310" s="30">
        <f t="shared" si="4"/>
        <v>0.49314533926130066</v>
      </c>
      <c r="O310" s="30">
        <f t="shared" si="5"/>
        <v>0.49311035277146825</v>
      </c>
    </row>
    <row r="311" spans="1:15" x14ac:dyDescent="0.2">
      <c r="A311" s="4" t="s">
        <v>623</v>
      </c>
      <c r="B311" s="4" t="s">
        <v>624</v>
      </c>
      <c r="C311" s="8" t="s">
        <v>23</v>
      </c>
      <c r="D311" s="25"/>
      <c r="E311" s="26">
        <v>298788</v>
      </c>
      <c r="F311" s="26">
        <v>59753</v>
      </c>
      <c r="G311" s="26">
        <v>361124</v>
      </c>
      <c r="H311" s="27">
        <f t="shared" si="6"/>
        <v>0.82738339185432153</v>
      </c>
      <c r="I311" s="27">
        <f t="shared" si="7"/>
        <v>0.16546394036397469</v>
      </c>
      <c r="J311" s="28"/>
      <c r="K311" s="26">
        <v>303165</v>
      </c>
      <c r="L311" s="26">
        <v>63609</v>
      </c>
      <c r="M311" s="26">
        <v>369582</v>
      </c>
      <c r="N311" s="27">
        <f t="shared" si="4"/>
        <v>0.82029157264152475</v>
      </c>
      <c r="O311" s="27">
        <f t="shared" si="5"/>
        <v>0.17211065473967888</v>
      </c>
    </row>
    <row r="312" spans="1:15" x14ac:dyDescent="0.2">
      <c r="A312" s="4" t="s">
        <v>625</v>
      </c>
      <c r="B312" s="4" t="s">
        <v>626</v>
      </c>
      <c r="C312" s="5" t="s">
        <v>8</v>
      </c>
      <c r="D312" s="25"/>
      <c r="E312" s="29">
        <v>167441</v>
      </c>
      <c r="F312" s="29">
        <v>207387</v>
      </c>
      <c r="G312" s="29">
        <v>381462</v>
      </c>
      <c r="H312" s="30">
        <f t="shared" si="6"/>
        <v>0.43894542575669399</v>
      </c>
      <c r="I312" s="30">
        <f t="shared" si="7"/>
        <v>0.5436635890337701</v>
      </c>
      <c r="J312" s="28"/>
      <c r="K312" s="29">
        <v>167870</v>
      </c>
      <c r="L312" s="29">
        <v>201574</v>
      </c>
      <c r="M312" s="29">
        <v>375123</v>
      </c>
      <c r="N312" s="30">
        <f t="shared" si="4"/>
        <v>0.4475065511845448</v>
      </c>
      <c r="O312" s="30">
        <f t="shared" si="5"/>
        <v>0.53735441441873733</v>
      </c>
    </row>
    <row r="313" spans="1:15" x14ac:dyDescent="0.2">
      <c r="A313" s="4" t="s">
        <v>627</v>
      </c>
      <c r="B313" s="4" t="s">
        <v>628</v>
      </c>
      <c r="C313" s="8" t="s">
        <v>23</v>
      </c>
      <c r="D313" s="25"/>
      <c r="E313" s="26">
        <v>212616</v>
      </c>
      <c r="F313" s="26">
        <v>119625</v>
      </c>
      <c r="G313" s="26">
        <v>337776</v>
      </c>
      <c r="H313" s="27">
        <f t="shared" si="6"/>
        <v>0.6294585760977689</v>
      </c>
      <c r="I313" s="27">
        <f t="shared" si="7"/>
        <v>0.35415482449907632</v>
      </c>
      <c r="J313" s="28"/>
      <c r="K313" s="26">
        <v>222155</v>
      </c>
      <c r="L313" s="26">
        <v>127685</v>
      </c>
      <c r="M313" s="26">
        <v>356854</v>
      </c>
      <c r="N313" s="27">
        <f t="shared" si="4"/>
        <v>0.62253750833674271</v>
      </c>
      <c r="O313" s="27">
        <f t="shared" si="5"/>
        <v>0.35780739462076927</v>
      </c>
    </row>
    <row r="314" spans="1:15" x14ac:dyDescent="0.2">
      <c r="A314" s="4" t="s">
        <v>629</v>
      </c>
      <c r="B314" s="4" t="s">
        <v>630</v>
      </c>
      <c r="C314" s="5" t="s">
        <v>8</v>
      </c>
      <c r="D314" s="25"/>
      <c r="E314" s="29">
        <v>179769</v>
      </c>
      <c r="F314" s="29">
        <v>192270</v>
      </c>
      <c r="G314" s="29">
        <v>377833</v>
      </c>
      <c r="H314" s="30">
        <f t="shared" si="6"/>
        <v>0.47578956840720638</v>
      </c>
      <c r="I314" s="30">
        <f t="shared" si="7"/>
        <v>0.50887561435872464</v>
      </c>
      <c r="J314" s="28"/>
      <c r="K314" s="29">
        <v>189099</v>
      </c>
      <c r="L314" s="29">
        <v>190379</v>
      </c>
      <c r="M314" s="29">
        <v>385186</v>
      </c>
      <c r="N314" s="30">
        <f t="shared" si="4"/>
        <v>0.49092905765007033</v>
      </c>
      <c r="O314" s="30">
        <f t="shared" si="5"/>
        <v>0.49425212754357634</v>
      </c>
    </row>
    <row r="315" spans="1:15" x14ac:dyDescent="0.2">
      <c r="A315" s="4" t="s">
        <v>631</v>
      </c>
      <c r="B315" s="4" t="s">
        <v>632</v>
      </c>
      <c r="C315" s="5" t="s">
        <v>8</v>
      </c>
      <c r="D315" s="25"/>
      <c r="E315" s="26">
        <v>161227</v>
      </c>
      <c r="F315" s="26">
        <v>180443</v>
      </c>
      <c r="G315" s="26">
        <v>347923</v>
      </c>
      <c r="H315" s="27">
        <f t="shared" si="6"/>
        <v>0.46339851058998688</v>
      </c>
      <c r="I315" s="27">
        <f t="shared" si="7"/>
        <v>0.51862912196089361</v>
      </c>
      <c r="J315" s="28"/>
      <c r="K315" s="26">
        <v>161592</v>
      </c>
      <c r="L315" s="26">
        <v>183103</v>
      </c>
      <c r="M315" s="26">
        <v>350655</v>
      </c>
      <c r="N315" s="27">
        <f t="shared" si="4"/>
        <v>0.46082901997690034</v>
      </c>
      <c r="O315" s="27">
        <f t="shared" si="5"/>
        <v>0.52217421682280307</v>
      </c>
    </row>
    <row r="316" spans="1:15" x14ac:dyDescent="0.2">
      <c r="A316" s="4" t="s">
        <v>633</v>
      </c>
      <c r="B316" s="4" t="s">
        <v>634</v>
      </c>
      <c r="C316" s="5" t="s">
        <v>8</v>
      </c>
      <c r="D316" s="25"/>
      <c r="E316" s="29">
        <v>169108</v>
      </c>
      <c r="F316" s="29">
        <v>199650</v>
      </c>
      <c r="G316" s="29">
        <v>374209</v>
      </c>
      <c r="H316" s="30">
        <f t="shared" si="6"/>
        <v>0.45190789104484391</v>
      </c>
      <c r="I316" s="30">
        <f t="shared" si="7"/>
        <v>0.53352538287427609</v>
      </c>
      <c r="J316" s="28"/>
      <c r="K316" s="29">
        <v>180871</v>
      </c>
      <c r="L316" s="29">
        <v>196473</v>
      </c>
      <c r="M316" s="29">
        <v>383030</v>
      </c>
      <c r="N316" s="30">
        <f t="shared" si="4"/>
        <v>0.47221105396444141</v>
      </c>
      <c r="O316" s="30">
        <f t="shared" si="5"/>
        <v>0.51294415581024988</v>
      </c>
    </row>
    <row r="317" spans="1:15" x14ac:dyDescent="0.2">
      <c r="A317" s="4" t="s">
        <v>635</v>
      </c>
      <c r="B317" s="4" t="s">
        <v>636</v>
      </c>
      <c r="C317" s="5" t="s">
        <v>8</v>
      </c>
      <c r="D317" s="25"/>
      <c r="E317" s="26">
        <v>98321</v>
      </c>
      <c r="F317" s="26">
        <v>188961</v>
      </c>
      <c r="G317" s="26">
        <v>287282</v>
      </c>
      <c r="H317" s="27">
        <f t="shared" si="6"/>
        <v>0.34224559840157059</v>
      </c>
      <c r="I317" s="27">
        <f t="shared" si="7"/>
        <v>0.65775440159842946</v>
      </c>
      <c r="J317" s="28"/>
      <c r="K317" s="26">
        <v>113915</v>
      </c>
      <c r="L317" s="26">
        <v>204018</v>
      </c>
      <c r="M317" s="26">
        <v>317933</v>
      </c>
      <c r="N317" s="27">
        <f t="shared" si="4"/>
        <v>0.35829876105972014</v>
      </c>
      <c r="O317" s="27">
        <f t="shared" si="5"/>
        <v>0.64170123894027986</v>
      </c>
    </row>
    <row r="318" spans="1:15" x14ac:dyDescent="0.2">
      <c r="A318" s="4" t="s">
        <v>637</v>
      </c>
      <c r="B318" s="4" t="s">
        <v>638</v>
      </c>
      <c r="C318" s="5" t="s">
        <v>8</v>
      </c>
      <c r="D318" s="25"/>
      <c r="E318" s="29">
        <v>81179</v>
      </c>
      <c r="F318" s="29">
        <v>170983</v>
      </c>
      <c r="G318" s="29">
        <v>252162</v>
      </c>
      <c r="H318" s="30">
        <f t="shared" si="6"/>
        <v>0.3219319326464733</v>
      </c>
      <c r="I318" s="30">
        <f t="shared" si="7"/>
        <v>0.67806806735352665</v>
      </c>
      <c r="J318" s="28"/>
      <c r="K318" s="29">
        <v>93714</v>
      </c>
      <c r="L318" s="29">
        <v>179570</v>
      </c>
      <c r="M318" s="29">
        <v>273285</v>
      </c>
      <c r="N318" s="30">
        <f t="shared" si="4"/>
        <v>0.34291673527635985</v>
      </c>
      <c r="O318" s="30">
        <f t="shared" si="5"/>
        <v>0.657079605540004</v>
      </c>
    </row>
    <row r="319" spans="1:15" x14ac:dyDescent="0.2">
      <c r="A319" s="4" t="s">
        <v>639</v>
      </c>
      <c r="B319" s="4" t="s">
        <v>640</v>
      </c>
      <c r="C319" s="5" t="s">
        <v>8</v>
      </c>
      <c r="D319" s="25"/>
      <c r="E319" s="26">
        <v>70346</v>
      </c>
      <c r="F319" s="26">
        <v>199390</v>
      </c>
      <c r="G319" s="26">
        <v>269736</v>
      </c>
      <c r="H319" s="27">
        <f t="shared" si="6"/>
        <v>0.26079574102085001</v>
      </c>
      <c r="I319" s="27">
        <f t="shared" si="7"/>
        <v>0.73920425897914999</v>
      </c>
      <c r="J319" s="28"/>
      <c r="K319" s="26">
        <v>80196</v>
      </c>
      <c r="L319" s="26">
        <v>216033</v>
      </c>
      <c r="M319" s="26">
        <v>296229</v>
      </c>
      <c r="N319" s="27">
        <f t="shared" si="4"/>
        <v>0.27072298795864008</v>
      </c>
      <c r="O319" s="27">
        <f t="shared" si="5"/>
        <v>0.72927701204135986</v>
      </c>
    </row>
    <row r="320" spans="1:15" x14ac:dyDescent="0.2">
      <c r="A320" s="4" t="s">
        <v>641</v>
      </c>
      <c r="B320" s="4" t="s">
        <v>642</v>
      </c>
      <c r="C320" s="5" t="s">
        <v>8</v>
      </c>
      <c r="D320" s="25"/>
      <c r="E320" s="29">
        <v>86285</v>
      </c>
      <c r="F320" s="29">
        <v>176067</v>
      </c>
      <c r="G320" s="29">
        <v>262386</v>
      </c>
      <c r="H320" s="30">
        <f t="shared" si="6"/>
        <v>0.32884757570906986</v>
      </c>
      <c r="I320" s="30">
        <f t="shared" si="7"/>
        <v>0.67102284420662683</v>
      </c>
      <c r="J320" s="28"/>
      <c r="K320" s="29">
        <v>97697</v>
      </c>
      <c r="L320" s="29">
        <v>190538</v>
      </c>
      <c r="M320" s="29">
        <v>288234</v>
      </c>
      <c r="N320" s="30">
        <f t="shared" si="4"/>
        <v>0.33895029732786558</v>
      </c>
      <c r="O320" s="30">
        <f t="shared" si="5"/>
        <v>0.66105317207546643</v>
      </c>
    </row>
    <row r="321" spans="1:15" x14ac:dyDescent="0.2">
      <c r="A321" s="4" t="s">
        <v>643</v>
      </c>
      <c r="B321" s="4" t="s">
        <v>644</v>
      </c>
      <c r="C321" s="5" t="s">
        <v>8</v>
      </c>
      <c r="D321" s="25"/>
      <c r="E321" s="26">
        <v>107416</v>
      </c>
      <c r="F321" s="26">
        <v>155924</v>
      </c>
      <c r="G321" s="26">
        <v>263306</v>
      </c>
      <c r="H321" s="27">
        <f t="shared" si="6"/>
        <v>0.40795120506179122</v>
      </c>
      <c r="I321" s="27">
        <f t="shared" si="7"/>
        <v>0.59217792226534904</v>
      </c>
      <c r="J321" s="28"/>
      <c r="K321" s="26">
        <v>116973</v>
      </c>
      <c r="L321" s="26">
        <v>170007</v>
      </c>
      <c r="M321" s="26">
        <v>286981</v>
      </c>
      <c r="N321" s="27">
        <f t="shared" si="4"/>
        <v>0.40759841243845413</v>
      </c>
      <c r="O321" s="27">
        <f t="shared" si="5"/>
        <v>0.59239810301030382</v>
      </c>
    </row>
    <row r="322" spans="1:15" x14ac:dyDescent="0.2">
      <c r="A322" s="4" t="s">
        <v>645</v>
      </c>
      <c r="B322" s="4" t="s">
        <v>646</v>
      </c>
      <c r="C322" s="8" t="s">
        <v>23</v>
      </c>
      <c r="D322" s="25"/>
      <c r="E322" s="29">
        <v>201028</v>
      </c>
      <c r="F322" s="29">
        <v>140410</v>
      </c>
      <c r="G322" s="29">
        <v>350979</v>
      </c>
      <c r="H322" s="30">
        <f t="shared" si="6"/>
        <v>0.57276361263779318</v>
      </c>
      <c r="I322" s="30">
        <f t="shared" si="7"/>
        <v>0.40005242478894748</v>
      </c>
      <c r="J322" s="28"/>
      <c r="K322" s="29">
        <v>210580</v>
      </c>
      <c r="L322" s="29">
        <v>133368</v>
      </c>
      <c r="M322" s="29">
        <v>353487</v>
      </c>
      <c r="N322" s="30">
        <f t="shared" si="4"/>
        <v>0.59572204918426985</v>
      </c>
      <c r="O322" s="30">
        <f t="shared" si="5"/>
        <v>0.37729251712227041</v>
      </c>
    </row>
    <row r="323" spans="1:15" x14ac:dyDescent="0.2">
      <c r="A323" s="4" t="s">
        <v>647</v>
      </c>
      <c r="B323" s="4" t="s">
        <v>648</v>
      </c>
      <c r="C323" s="5" t="s">
        <v>8</v>
      </c>
      <c r="D323" s="25"/>
      <c r="E323" s="26">
        <v>139940</v>
      </c>
      <c r="F323" s="26">
        <v>196568</v>
      </c>
      <c r="G323" s="26">
        <v>345883</v>
      </c>
      <c r="H323" s="27">
        <f t="shared" si="6"/>
        <v>0.40458767849243821</v>
      </c>
      <c r="I323" s="27">
        <f t="shared" si="7"/>
        <v>0.56830778037660135</v>
      </c>
      <c r="J323" s="28"/>
      <c r="K323" s="26">
        <v>153867</v>
      </c>
      <c r="L323" s="26">
        <v>191430</v>
      </c>
      <c r="M323" s="26">
        <v>355690</v>
      </c>
      <c r="N323" s="27">
        <f t="shared" si="4"/>
        <v>0.43258736540245718</v>
      </c>
      <c r="O323" s="27">
        <f t="shared" si="5"/>
        <v>0.53819337063172989</v>
      </c>
    </row>
    <row r="324" spans="1:15" x14ac:dyDescent="0.2">
      <c r="A324" s="4" t="s">
        <v>649</v>
      </c>
      <c r="B324" s="4" t="s">
        <v>650</v>
      </c>
      <c r="C324" s="8" t="s">
        <v>23</v>
      </c>
      <c r="D324" s="25"/>
      <c r="E324" s="29">
        <v>267966</v>
      </c>
      <c r="F324" s="29">
        <v>91827</v>
      </c>
      <c r="G324" s="29">
        <v>372036</v>
      </c>
      <c r="H324" s="30">
        <f t="shared" si="6"/>
        <v>0.72026900622520407</v>
      </c>
      <c r="I324" s="30">
        <f t="shared" si="7"/>
        <v>0.2468228881076025</v>
      </c>
      <c r="J324" s="28"/>
      <c r="K324" s="29">
        <v>275349</v>
      </c>
      <c r="L324" s="29">
        <v>91804</v>
      </c>
      <c r="M324" s="29">
        <v>377498</v>
      </c>
      <c r="N324" s="30">
        <f t="shared" si="4"/>
        <v>0.72940518890166306</v>
      </c>
      <c r="O324" s="30">
        <f t="shared" si="5"/>
        <v>0.24319069240101934</v>
      </c>
    </row>
    <row r="325" spans="1:15" x14ac:dyDescent="0.2">
      <c r="A325" s="4" t="s">
        <v>651</v>
      </c>
      <c r="B325" s="4" t="s">
        <v>652</v>
      </c>
      <c r="C325" s="8" t="s">
        <v>23</v>
      </c>
      <c r="D325" s="25"/>
      <c r="E325" s="26">
        <v>188563</v>
      </c>
      <c r="F325" s="26">
        <v>163931</v>
      </c>
      <c r="G325" s="26">
        <v>364440</v>
      </c>
      <c r="H325" s="27">
        <f t="shared" si="6"/>
        <v>0.51740478542421253</v>
      </c>
      <c r="I325" s="27">
        <f t="shared" si="7"/>
        <v>0.44981615629458893</v>
      </c>
      <c r="J325" s="28"/>
      <c r="K325" s="26">
        <v>210312</v>
      </c>
      <c r="L325" s="26">
        <v>165632</v>
      </c>
      <c r="M325" s="26">
        <v>388034</v>
      </c>
      <c r="N325" s="27">
        <f t="shared" si="4"/>
        <v>0.54199374281635115</v>
      </c>
      <c r="O325" s="27">
        <f t="shared" si="5"/>
        <v>0.42684919362736257</v>
      </c>
    </row>
    <row r="326" spans="1:15" x14ac:dyDescent="0.2">
      <c r="A326" s="4" t="s">
        <v>653</v>
      </c>
      <c r="B326" s="4" t="s">
        <v>654</v>
      </c>
      <c r="C326" s="8" t="s">
        <v>23</v>
      </c>
      <c r="D326" s="25"/>
      <c r="E326" s="29">
        <v>172991</v>
      </c>
      <c r="F326" s="29">
        <v>161439</v>
      </c>
      <c r="G326" s="29">
        <v>342657</v>
      </c>
      <c r="H326" s="30">
        <f t="shared" si="6"/>
        <v>0.50485179056607632</v>
      </c>
      <c r="I326" s="30">
        <f t="shared" si="7"/>
        <v>0.47113877726122622</v>
      </c>
      <c r="J326" s="28"/>
      <c r="K326" s="29">
        <v>187183</v>
      </c>
      <c r="L326" s="29">
        <v>156240</v>
      </c>
      <c r="M326" s="29">
        <v>353154</v>
      </c>
      <c r="N326" s="30">
        <f t="shared" si="4"/>
        <v>0.53003222390232019</v>
      </c>
      <c r="O326" s="30">
        <f t="shared" si="5"/>
        <v>0.44241322482543027</v>
      </c>
    </row>
    <row r="327" spans="1:15" x14ac:dyDescent="0.2">
      <c r="A327" s="4" t="s">
        <v>655</v>
      </c>
      <c r="B327" s="4" t="s">
        <v>656</v>
      </c>
      <c r="C327" s="8" t="s">
        <v>23</v>
      </c>
      <c r="D327" s="25"/>
      <c r="E327" s="26">
        <v>244605</v>
      </c>
      <c r="F327" s="26">
        <v>50211</v>
      </c>
      <c r="G327" s="26">
        <v>297369</v>
      </c>
      <c r="H327" s="30">
        <f t="shared" si="6"/>
        <v>0.82256388527385171</v>
      </c>
      <c r="I327" s="30">
        <f t="shared" si="7"/>
        <v>0.16885082170636481</v>
      </c>
      <c r="J327" s="33"/>
      <c r="K327" s="26">
        <v>245500</v>
      </c>
      <c r="L327" s="26">
        <v>64135</v>
      </c>
      <c r="M327" s="26">
        <v>311981</v>
      </c>
      <c r="N327" s="27">
        <f t="shared" si="4"/>
        <v>0.78690689497116817</v>
      </c>
      <c r="O327" s="27">
        <f t="shared" si="5"/>
        <v>0.20557341632984061</v>
      </c>
    </row>
    <row r="328" spans="1:15" x14ac:dyDescent="0.2">
      <c r="A328" s="4" t="s">
        <v>657</v>
      </c>
      <c r="B328" s="4" t="s">
        <v>658</v>
      </c>
      <c r="C328" s="8" t="s">
        <v>23</v>
      </c>
      <c r="D328" s="25"/>
      <c r="E328" s="29">
        <v>338543</v>
      </c>
      <c r="F328" s="29">
        <v>33525</v>
      </c>
      <c r="G328" s="29">
        <v>374459</v>
      </c>
      <c r="H328" s="30">
        <f t="shared" si="6"/>
        <v>0.90408562753198618</v>
      </c>
      <c r="I328" s="30">
        <f t="shared" si="7"/>
        <v>8.9529160735888305E-2</v>
      </c>
      <c r="J328" s="33"/>
      <c r="K328" s="29">
        <v>347855</v>
      </c>
      <c r="L328" s="29">
        <v>33390</v>
      </c>
      <c r="M328" s="29">
        <v>382621</v>
      </c>
      <c r="N328" s="30">
        <f t="shared" si="4"/>
        <v>0.90913724024556941</v>
      </c>
      <c r="O328" s="30">
        <f t="shared" si="5"/>
        <v>8.7266511770132851E-2</v>
      </c>
    </row>
    <row r="329" spans="1:15" x14ac:dyDescent="0.2">
      <c r="A329" s="4" t="s">
        <v>659</v>
      </c>
      <c r="B329" s="4" t="s">
        <v>660</v>
      </c>
      <c r="C329" s="5" t="s">
        <v>8</v>
      </c>
      <c r="D329" s="25"/>
      <c r="E329" s="26">
        <v>132484</v>
      </c>
      <c r="F329" s="26">
        <v>171121</v>
      </c>
      <c r="G329" s="26">
        <v>307771</v>
      </c>
      <c r="H329" s="30">
        <f t="shared" si="6"/>
        <v>0.43046290911099488</v>
      </c>
      <c r="I329" s="30">
        <f t="shared" si="7"/>
        <v>0.55600105273076406</v>
      </c>
      <c r="J329" s="33"/>
      <c r="K329" s="26">
        <v>149873</v>
      </c>
      <c r="L329" s="26">
        <v>169166</v>
      </c>
      <c r="M329" s="26">
        <v>323368</v>
      </c>
      <c r="N329" s="27">
        <f t="shared" si="4"/>
        <v>0.4634750500977215</v>
      </c>
      <c r="O329" s="27">
        <f t="shared" si="5"/>
        <v>0.52313772543974668</v>
      </c>
    </row>
    <row r="330" spans="1:15" x14ac:dyDescent="0.2">
      <c r="A330" s="4" t="s">
        <v>661</v>
      </c>
      <c r="B330" s="4" t="s">
        <v>662</v>
      </c>
      <c r="C330" s="5" t="s">
        <v>8</v>
      </c>
      <c r="D330" s="25"/>
      <c r="E330" s="29">
        <v>129239</v>
      </c>
      <c r="F330" s="29">
        <v>177711</v>
      </c>
      <c r="G330" s="29">
        <v>311373</v>
      </c>
      <c r="H330" s="30">
        <f t="shared" si="6"/>
        <v>0.41506167843711561</v>
      </c>
      <c r="I330" s="30">
        <f t="shared" si="7"/>
        <v>0.57073349327012934</v>
      </c>
      <c r="J330" s="33"/>
      <c r="K330" s="29">
        <v>144854</v>
      </c>
      <c r="L330" s="29">
        <v>172940</v>
      </c>
      <c r="M330" s="29">
        <v>321232</v>
      </c>
      <c r="N330" s="30">
        <f t="shared" si="4"/>
        <v>0.45093265926184189</v>
      </c>
      <c r="O330" s="30">
        <f t="shared" si="5"/>
        <v>0.53836479553718186</v>
      </c>
    </row>
    <row r="331" spans="1:15" x14ac:dyDescent="0.2">
      <c r="A331" s="4" t="s">
        <v>663</v>
      </c>
      <c r="B331" s="4" t="s">
        <v>664</v>
      </c>
      <c r="C331" s="5" t="s">
        <v>8</v>
      </c>
      <c r="D331" s="25"/>
      <c r="E331" s="26">
        <v>119958</v>
      </c>
      <c r="F331" s="26">
        <v>165210</v>
      </c>
      <c r="G331" s="26">
        <v>290085</v>
      </c>
      <c r="H331" s="30">
        <f t="shared" si="6"/>
        <v>0.41352706965199854</v>
      </c>
      <c r="I331" s="30">
        <f t="shared" si="7"/>
        <v>0.56952272609752319</v>
      </c>
      <c r="J331" s="33"/>
      <c r="K331" s="26">
        <v>146536</v>
      </c>
      <c r="L331" s="26">
        <v>160134</v>
      </c>
      <c r="M331" s="26">
        <v>311074</v>
      </c>
      <c r="N331" s="27">
        <f t="shared" si="4"/>
        <v>0.47106476272526793</v>
      </c>
      <c r="O331" s="27">
        <f t="shared" si="5"/>
        <v>0.5147778342130811</v>
      </c>
    </row>
    <row r="332" spans="1:15" x14ac:dyDescent="0.2">
      <c r="A332" s="4" t="s">
        <v>665</v>
      </c>
      <c r="B332" s="4" t="s">
        <v>666</v>
      </c>
      <c r="C332" s="5" t="s">
        <v>8</v>
      </c>
      <c r="D332" s="25"/>
      <c r="E332" s="29">
        <v>165916</v>
      </c>
      <c r="F332" s="29">
        <v>174379</v>
      </c>
      <c r="G332" s="29">
        <v>344797</v>
      </c>
      <c r="H332" s="30">
        <f t="shared" si="6"/>
        <v>0.4811990823586052</v>
      </c>
      <c r="I332" s="30">
        <f t="shared" si="7"/>
        <v>0.5057439594892067</v>
      </c>
      <c r="J332" s="33"/>
      <c r="K332" s="29">
        <v>186460</v>
      </c>
      <c r="L332" s="29">
        <v>161570</v>
      </c>
      <c r="M332" s="29">
        <v>351615</v>
      </c>
      <c r="N332" s="30">
        <f t="shared" ref="N332:N437" si="8">K332/M332</f>
        <v>0.53029592025368655</v>
      </c>
      <c r="O332" s="30">
        <f t="shared" ref="O332:O437" si="9">L332/M332</f>
        <v>0.45950826898738678</v>
      </c>
    </row>
    <row r="333" spans="1:15" x14ac:dyDescent="0.2">
      <c r="A333" s="4" t="s">
        <v>667</v>
      </c>
      <c r="B333" s="4" t="s">
        <v>668</v>
      </c>
      <c r="C333" s="5" t="s">
        <v>8</v>
      </c>
      <c r="D333" s="25"/>
      <c r="E333" s="26">
        <v>177252</v>
      </c>
      <c r="F333" s="26">
        <v>183955</v>
      </c>
      <c r="G333" s="26">
        <v>365247</v>
      </c>
      <c r="H333" s="30">
        <f t="shared" si="6"/>
        <v>0.48529351370442469</v>
      </c>
      <c r="I333" s="30">
        <f t="shared" si="7"/>
        <v>0.50364547826539297</v>
      </c>
      <c r="J333" s="33"/>
      <c r="K333" s="26">
        <v>192275</v>
      </c>
      <c r="L333" s="26">
        <v>179384</v>
      </c>
      <c r="M333" s="26">
        <v>375376</v>
      </c>
      <c r="N333" s="27">
        <f t="shared" si="8"/>
        <v>0.51221974766633993</v>
      </c>
      <c r="O333" s="27">
        <f t="shared" si="9"/>
        <v>0.47787818081070715</v>
      </c>
    </row>
    <row r="334" spans="1:15" x14ac:dyDescent="0.2">
      <c r="A334" s="4" t="s">
        <v>669</v>
      </c>
      <c r="B334" s="4" t="s">
        <v>670</v>
      </c>
      <c r="C334" s="5" t="s">
        <v>8</v>
      </c>
      <c r="D334" s="25"/>
      <c r="E334" s="29">
        <v>177940</v>
      </c>
      <c r="F334" s="29">
        <v>178195</v>
      </c>
      <c r="G334" s="29">
        <v>360589</v>
      </c>
      <c r="H334" s="30">
        <f t="shared" si="6"/>
        <v>0.49347040536455633</v>
      </c>
      <c r="I334" s="30">
        <f t="shared" si="7"/>
        <v>0.49417758167886428</v>
      </c>
      <c r="J334" s="33"/>
      <c r="K334" s="29">
        <v>198505</v>
      </c>
      <c r="L334" s="29">
        <v>170472</v>
      </c>
      <c r="M334" s="29">
        <v>373060</v>
      </c>
      <c r="N334" s="30">
        <f t="shared" si="8"/>
        <v>0.5320993941993245</v>
      </c>
      <c r="O334" s="30">
        <f t="shared" si="9"/>
        <v>0.45695598563233797</v>
      </c>
    </row>
    <row r="335" spans="1:15" x14ac:dyDescent="0.2">
      <c r="A335" s="4" t="s">
        <v>671</v>
      </c>
      <c r="B335" s="4" t="s">
        <v>672</v>
      </c>
      <c r="C335" s="5" t="s">
        <v>8</v>
      </c>
      <c r="D335" s="25"/>
      <c r="E335" s="26">
        <v>100907</v>
      </c>
      <c r="F335" s="26">
        <v>176724</v>
      </c>
      <c r="G335" s="26">
        <v>281321</v>
      </c>
      <c r="H335" s="30">
        <f t="shared" si="6"/>
        <v>0.3586898951731296</v>
      </c>
      <c r="I335" s="30">
        <f t="shared" si="7"/>
        <v>0.62819341606207857</v>
      </c>
      <c r="J335" s="33"/>
      <c r="K335" s="26">
        <v>120433</v>
      </c>
      <c r="L335" s="26">
        <v>170305</v>
      </c>
      <c r="M335" s="26">
        <v>294304</v>
      </c>
      <c r="N335" s="27">
        <f t="shared" si="8"/>
        <v>0.40921292269218223</v>
      </c>
      <c r="O335" s="27">
        <f t="shared" si="9"/>
        <v>0.57867035446341197</v>
      </c>
    </row>
    <row r="336" spans="1:15" x14ac:dyDescent="0.2">
      <c r="A336" s="4" t="s">
        <v>673</v>
      </c>
      <c r="B336" s="4" t="s">
        <v>674</v>
      </c>
      <c r="C336" s="5" t="s">
        <v>8</v>
      </c>
      <c r="D336" s="25"/>
      <c r="E336" s="29">
        <v>108944</v>
      </c>
      <c r="F336" s="29">
        <v>170277</v>
      </c>
      <c r="G336" s="29">
        <v>283294</v>
      </c>
      <c r="H336" s="30">
        <f t="shared" si="6"/>
        <v>0.38456162149569001</v>
      </c>
      <c r="I336" s="30">
        <f t="shared" si="7"/>
        <v>0.60106108848051842</v>
      </c>
      <c r="J336" s="33"/>
      <c r="K336" s="29">
        <v>126925</v>
      </c>
      <c r="L336" s="29">
        <v>169324</v>
      </c>
      <c r="M336" s="29">
        <v>299936</v>
      </c>
      <c r="N336" s="30">
        <f t="shared" si="8"/>
        <v>0.42317361037021234</v>
      </c>
      <c r="O336" s="30">
        <f t="shared" si="9"/>
        <v>0.5645337672036701</v>
      </c>
    </row>
    <row r="337" spans="1:15" x14ac:dyDescent="0.2">
      <c r="A337" s="4" t="s">
        <v>675</v>
      </c>
      <c r="B337" s="4" t="s">
        <v>676</v>
      </c>
      <c r="C337" s="5" t="s">
        <v>8</v>
      </c>
      <c r="D337" s="25"/>
      <c r="E337" s="26">
        <v>130502</v>
      </c>
      <c r="F337" s="26">
        <v>157841</v>
      </c>
      <c r="G337" s="26">
        <v>292821</v>
      </c>
      <c r="H337" s="30">
        <f t="shared" si="6"/>
        <v>0.44567158776180671</v>
      </c>
      <c r="I337" s="30">
        <f t="shared" si="7"/>
        <v>0.53903579319789219</v>
      </c>
      <c r="J337" s="33"/>
      <c r="K337" s="26">
        <v>145211</v>
      </c>
      <c r="L337" s="26">
        <v>159469</v>
      </c>
      <c r="M337" s="26">
        <v>308440</v>
      </c>
      <c r="N337" s="27">
        <f t="shared" si="8"/>
        <v>0.47079172610556347</v>
      </c>
      <c r="O337" s="27">
        <f t="shared" si="9"/>
        <v>0.51701789651147712</v>
      </c>
    </row>
    <row r="338" spans="1:15" x14ac:dyDescent="0.2">
      <c r="A338" s="4" t="s">
        <v>677</v>
      </c>
      <c r="B338" s="4" t="s">
        <v>678</v>
      </c>
      <c r="C338" s="5" t="s">
        <v>8</v>
      </c>
      <c r="D338" s="25"/>
      <c r="E338" s="29">
        <v>141918</v>
      </c>
      <c r="F338" s="29">
        <v>200396</v>
      </c>
      <c r="G338" s="29">
        <v>346617</v>
      </c>
      <c r="H338" s="30">
        <f t="shared" si="6"/>
        <v>0.40943750595037176</v>
      </c>
      <c r="I338" s="30">
        <f t="shared" si="7"/>
        <v>0.578148215465485</v>
      </c>
      <c r="J338" s="33"/>
      <c r="K338" s="29">
        <v>161241</v>
      </c>
      <c r="L338" s="29">
        <v>195077</v>
      </c>
      <c r="M338" s="29">
        <v>360576</v>
      </c>
      <c r="N338" s="30">
        <f t="shared" si="8"/>
        <v>0.44717618477103299</v>
      </c>
      <c r="O338" s="30">
        <f t="shared" si="9"/>
        <v>0.54101493166489167</v>
      </c>
    </row>
    <row r="339" spans="1:15" x14ac:dyDescent="0.2">
      <c r="A339" s="4" t="s">
        <v>679</v>
      </c>
      <c r="B339" s="4" t="s">
        <v>680</v>
      </c>
      <c r="C339" s="8" t="s">
        <v>23</v>
      </c>
      <c r="D339" s="25"/>
      <c r="E339" s="26">
        <v>210561</v>
      </c>
      <c r="F339" s="26">
        <v>104711</v>
      </c>
      <c r="G339" s="26">
        <v>318212</v>
      </c>
      <c r="H339" s="30">
        <f t="shared" si="6"/>
        <v>0.66170037585006225</v>
      </c>
      <c r="I339" s="30">
        <f t="shared" si="7"/>
        <v>0.3290605005468053</v>
      </c>
      <c r="J339" s="33"/>
      <c r="K339" s="26">
        <v>217661</v>
      </c>
      <c r="L339" s="26">
        <v>112243</v>
      </c>
      <c r="M339" s="26">
        <v>332609</v>
      </c>
      <c r="N339" s="27">
        <f t="shared" si="8"/>
        <v>0.65440502211305163</v>
      </c>
      <c r="O339" s="27">
        <f t="shared" si="9"/>
        <v>0.3374623055900472</v>
      </c>
    </row>
    <row r="340" spans="1:15" x14ac:dyDescent="0.2">
      <c r="A340" s="4" t="s">
        <v>681</v>
      </c>
      <c r="B340" s="4" t="s">
        <v>682</v>
      </c>
      <c r="C340" s="8" t="s">
        <v>23</v>
      </c>
      <c r="D340" s="25"/>
      <c r="E340" s="29">
        <v>230750</v>
      </c>
      <c r="F340" s="29">
        <v>103977</v>
      </c>
      <c r="G340" s="29">
        <v>339399</v>
      </c>
      <c r="H340" s="30">
        <f t="shared" si="6"/>
        <v>0.67987825538672775</v>
      </c>
      <c r="I340" s="30">
        <f t="shared" si="7"/>
        <v>0.30635623558113018</v>
      </c>
      <c r="J340" s="33"/>
      <c r="K340" s="29">
        <v>245432</v>
      </c>
      <c r="L340" s="29">
        <v>116994</v>
      </c>
      <c r="M340" s="29">
        <v>366056</v>
      </c>
      <c r="N340" s="30">
        <f t="shared" si="8"/>
        <v>0.67047664838166843</v>
      </c>
      <c r="O340" s="30">
        <f t="shared" si="9"/>
        <v>0.3196068361125074</v>
      </c>
    </row>
    <row r="341" spans="1:15" x14ac:dyDescent="0.2">
      <c r="A341" s="4" t="s">
        <v>683</v>
      </c>
      <c r="B341" s="4" t="s">
        <v>684</v>
      </c>
      <c r="C341" s="5" t="s">
        <v>8</v>
      </c>
      <c r="D341" s="25"/>
      <c r="E341" s="26">
        <v>147234</v>
      </c>
      <c r="F341" s="26">
        <v>156165</v>
      </c>
      <c r="G341" s="26">
        <v>307543</v>
      </c>
      <c r="H341" s="30">
        <f t="shared" si="6"/>
        <v>0.47874280994852753</v>
      </c>
      <c r="I341" s="30">
        <f t="shared" si="7"/>
        <v>0.50778265153165569</v>
      </c>
      <c r="J341" s="33"/>
      <c r="K341" s="26">
        <v>165836</v>
      </c>
      <c r="L341" s="26">
        <v>148385</v>
      </c>
      <c r="M341" s="26">
        <v>318325</v>
      </c>
      <c r="N341" s="27">
        <f t="shared" si="8"/>
        <v>0.52096442315243852</v>
      </c>
      <c r="O341" s="27">
        <f t="shared" si="9"/>
        <v>0.46614309275111915</v>
      </c>
    </row>
    <row r="342" spans="1:15" x14ac:dyDescent="0.2">
      <c r="A342" s="4" t="s">
        <v>685</v>
      </c>
      <c r="B342" s="4" t="s">
        <v>686</v>
      </c>
      <c r="C342" s="5" t="s">
        <v>8</v>
      </c>
      <c r="D342" s="25"/>
      <c r="E342" s="29">
        <v>135331</v>
      </c>
      <c r="F342" s="29">
        <v>153189</v>
      </c>
      <c r="G342" s="29">
        <v>292597</v>
      </c>
      <c r="H342" s="30">
        <f t="shared" si="6"/>
        <v>0.46251670386230892</v>
      </c>
      <c r="I342" s="30">
        <f t="shared" si="7"/>
        <v>0.52354945539427955</v>
      </c>
      <c r="J342" s="33"/>
      <c r="K342" s="29">
        <v>152095</v>
      </c>
      <c r="L342" s="29">
        <v>148489</v>
      </c>
      <c r="M342" s="29">
        <v>303292</v>
      </c>
      <c r="N342" s="30">
        <f t="shared" si="8"/>
        <v>0.50148042150798566</v>
      </c>
      <c r="O342" s="30">
        <f t="shared" si="9"/>
        <v>0.4895908893079936</v>
      </c>
    </row>
    <row r="343" spans="1:15" x14ac:dyDescent="0.2">
      <c r="A343" s="4" t="s">
        <v>687</v>
      </c>
      <c r="B343" s="4" t="s">
        <v>688</v>
      </c>
      <c r="C343" s="8" t="s">
        <v>23</v>
      </c>
      <c r="D343" s="25"/>
      <c r="E343" s="26">
        <v>156019</v>
      </c>
      <c r="F343" s="26">
        <v>121870</v>
      </c>
      <c r="G343" s="26">
        <v>281710</v>
      </c>
      <c r="H343" s="30">
        <f t="shared" si="6"/>
        <v>0.55382840509744058</v>
      </c>
      <c r="I343" s="30">
        <f t="shared" si="7"/>
        <v>0.43260800113591991</v>
      </c>
      <c r="J343" s="33"/>
      <c r="K343" s="26">
        <v>174446</v>
      </c>
      <c r="L343" s="26">
        <v>128440</v>
      </c>
      <c r="M343" s="26">
        <v>306601</v>
      </c>
      <c r="N343" s="27">
        <f t="shared" si="8"/>
        <v>0.56896748542894515</v>
      </c>
      <c r="O343" s="27">
        <f t="shared" si="9"/>
        <v>0.41891578957668107</v>
      </c>
    </row>
    <row r="344" spans="1:15" x14ac:dyDescent="0.2">
      <c r="A344" s="4" t="s">
        <v>689</v>
      </c>
      <c r="B344" s="4" t="s">
        <v>690</v>
      </c>
      <c r="C344" s="5" t="s">
        <v>8</v>
      </c>
      <c r="D344" s="25"/>
      <c r="E344" s="29">
        <v>142178</v>
      </c>
      <c r="F344" s="29">
        <v>200985</v>
      </c>
      <c r="G344" s="29">
        <v>346855</v>
      </c>
      <c r="H344" s="30">
        <f t="shared" si="6"/>
        <v>0.40990615675138026</v>
      </c>
      <c r="I344" s="30">
        <f t="shared" si="7"/>
        <v>0.57944962592437765</v>
      </c>
      <c r="J344" s="33"/>
      <c r="K344" s="29">
        <v>155226</v>
      </c>
      <c r="L344" s="29">
        <v>195970</v>
      </c>
      <c r="M344" s="29">
        <v>354760</v>
      </c>
      <c r="N344" s="30">
        <f t="shared" si="8"/>
        <v>0.43755214793099562</v>
      </c>
      <c r="O344" s="30">
        <f t="shared" si="9"/>
        <v>0.55240162363287859</v>
      </c>
    </row>
    <row r="345" spans="1:15" x14ac:dyDescent="0.2">
      <c r="A345" s="4" t="s">
        <v>691</v>
      </c>
      <c r="B345" s="4" t="s">
        <v>692</v>
      </c>
      <c r="C345" s="8" t="s">
        <v>23</v>
      </c>
      <c r="D345" s="25"/>
      <c r="E345" s="26">
        <v>141332</v>
      </c>
      <c r="F345" s="26">
        <v>68685</v>
      </c>
      <c r="G345" s="26">
        <v>213460</v>
      </c>
      <c r="H345" s="27">
        <f t="shared" si="6"/>
        <v>0.66210062775227208</v>
      </c>
      <c r="I345" s="27">
        <f t="shared" si="7"/>
        <v>0.32176988662981354</v>
      </c>
      <c r="J345" s="28"/>
      <c r="K345" s="26">
        <v>150363</v>
      </c>
      <c r="L345" s="26">
        <v>71764</v>
      </c>
      <c r="M345" s="26">
        <v>225615</v>
      </c>
      <c r="N345" s="27">
        <f t="shared" si="8"/>
        <v>0.6664583471843627</v>
      </c>
      <c r="O345" s="27">
        <f t="shared" si="9"/>
        <v>0.31808168783103963</v>
      </c>
    </row>
    <row r="346" spans="1:15" x14ac:dyDescent="0.2">
      <c r="A346" s="4" t="s">
        <v>693</v>
      </c>
      <c r="B346" s="4" t="s">
        <v>694</v>
      </c>
      <c r="C346" s="8" t="s">
        <v>23</v>
      </c>
      <c r="D346" s="25"/>
      <c r="E346" s="29">
        <v>138345</v>
      </c>
      <c r="F346" s="29">
        <v>88519</v>
      </c>
      <c r="G346" s="29">
        <v>231208</v>
      </c>
      <c r="H346" s="30">
        <f t="shared" si="6"/>
        <v>0.59835732327601121</v>
      </c>
      <c r="I346" s="30">
        <f t="shared" si="7"/>
        <v>0.38285439950174732</v>
      </c>
      <c r="J346" s="28"/>
      <c r="K346" s="29">
        <v>146208</v>
      </c>
      <c r="L346" s="29">
        <v>93627</v>
      </c>
      <c r="M346" s="29">
        <v>244152</v>
      </c>
      <c r="N346" s="30">
        <f t="shared" si="8"/>
        <v>0.59884006684360558</v>
      </c>
      <c r="O346" s="30">
        <f t="shared" si="9"/>
        <v>0.38347832497788265</v>
      </c>
    </row>
    <row r="347" spans="1:15" x14ac:dyDescent="0.2">
      <c r="A347" s="4" t="s">
        <v>695</v>
      </c>
      <c r="B347" s="4" t="s">
        <v>696</v>
      </c>
      <c r="C347" s="5" t="s">
        <v>8</v>
      </c>
      <c r="D347" s="25"/>
      <c r="E347" s="26">
        <v>119756</v>
      </c>
      <c r="F347" s="26">
        <v>173550</v>
      </c>
      <c r="G347" s="26">
        <v>297933</v>
      </c>
      <c r="H347" s="27">
        <f t="shared" si="6"/>
        <v>0.40195614450228745</v>
      </c>
      <c r="I347" s="27">
        <f t="shared" si="7"/>
        <v>0.58251351813998453</v>
      </c>
      <c r="J347" s="28"/>
      <c r="K347" s="26">
        <v>118886</v>
      </c>
      <c r="L347" s="26">
        <v>156066</v>
      </c>
      <c r="M347" s="26">
        <v>278253</v>
      </c>
      <c r="N347" s="27">
        <f t="shared" si="8"/>
        <v>0.42725864590857959</v>
      </c>
      <c r="O347" s="27">
        <f t="shared" si="9"/>
        <v>0.56087804983234679</v>
      </c>
    </row>
    <row r="348" spans="1:15" x14ac:dyDescent="0.2">
      <c r="A348" s="4" t="s">
        <v>697</v>
      </c>
      <c r="B348" s="4" t="s">
        <v>698</v>
      </c>
      <c r="C348" s="5" t="s">
        <v>8</v>
      </c>
      <c r="D348" s="25"/>
      <c r="E348" s="29">
        <v>113338</v>
      </c>
      <c r="F348" s="29">
        <v>170005</v>
      </c>
      <c r="G348" s="29">
        <v>287443</v>
      </c>
      <c r="H348" s="30">
        <f t="shared" si="6"/>
        <v>0.39429730416117281</v>
      </c>
      <c r="I348" s="30">
        <f t="shared" si="7"/>
        <v>0.59143899834054059</v>
      </c>
      <c r="J348" s="28"/>
      <c r="K348" s="29">
        <v>112547</v>
      </c>
      <c r="L348" s="29">
        <v>169885</v>
      </c>
      <c r="M348" s="29">
        <v>285473</v>
      </c>
      <c r="N348" s="30">
        <f t="shared" si="8"/>
        <v>0.39424744196473921</v>
      </c>
      <c r="O348" s="30">
        <f t="shared" si="9"/>
        <v>0.59510006200236099</v>
      </c>
    </row>
    <row r="349" spans="1:15" x14ac:dyDescent="0.2">
      <c r="A349" s="4" t="s">
        <v>699</v>
      </c>
      <c r="B349" s="4" t="s">
        <v>700</v>
      </c>
      <c r="C349" s="5" t="s">
        <v>8</v>
      </c>
      <c r="D349" s="25"/>
      <c r="E349" s="26">
        <v>89494</v>
      </c>
      <c r="F349" s="26">
        <v>170173</v>
      </c>
      <c r="G349" s="26">
        <v>263638</v>
      </c>
      <c r="H349" s="27">
        <f t="shared" si="6"/>
        <v>0.33945789301997437</v>
      </c>
      <c r="I349" s="27">
        <f t="shared" si="7"/>
        <v>0.6454797866771862</v>
      </c>
      <c r="J349" s="28"/>
      <c r="K349" s="26">
        <v>93525</v>
      </c>
      <c r="L349" s="26">
        <v>169190</v>
      </c>
      <c r="M349" s="26">
        <v>266523</v>
      </c>
      <c r="N349" s="27">
        <f t="shared" si="8"/>
        <v>0.3509078015781002</v>
      </c>
      <c r="O349" s="27">
        <f t="shared" si="9"/>
        <v>0.63480450092487328</v>
      </c>
    </row>
    <row r="350" spans="1:15" x14ac:dyDescent="0.2">
      <c r="A350" s="4" t="s">
        <v>701</v>
      </c>
      <c r="B350" s="4" t="s">
        <v>702</v>
      </c>
      <c r="C350" s="5" t="s">
        <v>8</v>
      </c>
      <c r="D350" s="25"/>
      <c r="E350" s="29">
        <v>99387</v>
      </c>
      <c r="F350" s="29">
        <v>170679</v>
      </c>
      <c r="G350" s="29">
        <v>274554</v>
      </c>
      <c r="H350" s="30">
        <f t="shared" si="6"/>
        <v>0.36199436176489869</v>
      </c>
      <c r="I350" s="30">
        <f t="shared" si="7"/>
        <v>0.6216591271662405</v>
      </c>
      <c r="J350" s="28"/>
      <c r="K350" s="29">
        <v>102178</v>
      </c>
      <c r="L350" s="29">
        <v>164088</v>
      </c>
      <c r="M350" s="29">
        <v>270855</v>
      </c>
      <c r="N350" s="30">
        <f t="shared" si="8"/>
        <v>0.37724243598973622</v>
      </c>
      <c r="O350" s="30">
        <f t="shared" si="9"/>
        <v>0.60581491942183086</v>
      </c>
    </row>
    <row r="351" spans="1:15" x14ac:dyDescent="0.2">
      <c r="A351" s="4" t="s">
        <v>703</v>
      </c>
      <c r="B351" s="4" t="s">
        <v>704</v>
      </c>
      <c r="C351" s="5" t="s">
        <v>8</v>
      </c>
      <c r="D351" s="25"/>
      <c r="E351" s="26">
        <v>124832</v>
      </c>
      <c r="F351" s="26">
        <v>157710</v>
      </c>
      <c r="G351" s="26">
        <v>286200</v>
      </c>
      <c r="H351" s="27">
        <f t="shared" si="6"/>
        <v>0.4361705101327743</v>
      </c>
      <c r="I351" s="27">
        <f t="shared" si="7"/>
        <v>0.55104821802935011</v>
      </c>
      <c r="J351" s="28"/>
      <c r="K351" s="26">
        <v>120264</v>
      </c>
      <c r="L351" s="26">
        <v>150734</v>
      </c>
      <c r="M351" s="26">
        <v>274280</v>
      </c>
      <c r="N351" s="27">
        <f t="shared" si="8"/>
        <v>0.43847163482572554</v>
      </c>
      <c r="O351" s="27">
        <f t="shared" si="9"/>
        <v>0.5495624908852268</v>
      </c>
    </row>
    <row r="352" spans="1:15" x14ac:dyDescent="0.2">
      <c r="A352" s="4" t="s">
        <v>705</v>
      </c>
      <c r="B352" s="4" t="s">
        <v>706</v>
      </c>
      <c r="C352" s="8" t="s">
        <v>23</v>
      </c>
      <c r="D352" s="25"/>
      <c r="E352" s="29">
        <v>195131</v>
      </c>
      <c r="F352" s="29">
        <v>77299</v>
      </c>
      <c r="G352" s="29">
        <v>275266</v>
      </c>
      <c r="H352" s="30">
        <f t="shared" si="6"/>
        <v>0.70888159089753189</v>
      </c>
      <c r="I352" s="30">
        <f t="shared" si="7"/>
        <v>0.28081564741014148</v>
      </c>
      <c r="J352" s="28"/>
      <c r="K352" s="29">
        <v>191945</v>
      </c>
      <c r="L352" s="29">
        <v>79266</v>
      </c>
      <c r="M352" s="29">
        <v>273907</v>
      </c>
      <c r="N352" s="30">
        <f t="shared" si="8"/>
        <v>0.70076704866980399</v>
      </c>
      <c r="O352" s="30">
        <f t="shared" si="9"/>
        <v>0.28939019448206871</v>
      </c>
    </row>
    <row r="353" spans="1:15" x14ac:dyDescent="0.2">
      <c r="A353" s="4" t="s">
        <v>707</v>
      </c>
      <c r="B353" s="4" t="s">
        <v>708</v>
      </c>
      <c r="C353" s="5" t="s">
        <v>8</v>
      </c>
      <c r="D353" s="25"/>
      <c r="E353" s="26">
        <v>124002</v>
      </c>
      <c r="F353" s="26">
        <v>152230</v>
      </c>
      <c r="G353" s="26">
        <v>279085</v>
      </c>
      <c r="H353" s="27">
        <f t="shared" si="6"/>
        <v>0.44431624773814427</v>
      </c>
      <c r="I353" s="27">
        <f t="shared" si="7"/>
        <v>0.54546106025046137</v>
      </c>
      <c r="J353" s="28"/>
      <c r="K353" s="26">
        <v>123103</v>
      </c>
      <c r="L353" s="26">
        <v>145666</v>
      </c>
      <c r="M353" s="26">
        <v>271678</v>
      </c>
      <c r="N353" s="27">
        <f t="shared" si="8"/>
        <v>0.45312097409433227</v>
      </c>
      <c r="O353" s="27">
        <f t="shared" si="9"/>
        <v>0.53617149713999657</v>
      </c>
    </row>
    <row r="354" spans="1:15" x14ac:dyDescent="0.2">
      <c r="A354" s="4" t="s">
        <v>709</v>
      </c>
      <c r="B354" s="4" t="s">
        <v>710</v>
      </c>
      <c r="C354" s="5" t="s">
        <v>8</v>
      </c>
      <c r="D354" s="25"/>
      <c r="E354" s="29">
        <v>145039</v>
      </c>
      <c r="F354" s="29">
        <v>210610</v>
      </c>
      <c r="G354" s="29">
        <v>363809</v>
      </c>
      <c r="H354" s="30">
        <f t="shared" si="6"/>
        <v>0.39866798237536727</v>
      </c>
      <c r="I354" s="30">
        <f t="shared" si="7"/>
        <v>0.57890266595933582</v>
      </c>
      <c r="J354" s="28"/>
      <c r="K354" s="29">
        <v>170924</v>
      </c>
      <c r="L354" s="29">
        <v>203054</v>
      </c>
      <c r="M354" s="29">
        <v>381975</v>
      </c>
      <c r="N354" s="30">
        <f t="shared" si="8"/>
        <v>0.44747431114601743</v>
      </c>
      <c r="O354" s="30">
        <f t="shared" si="9"/>
        <v>0.53158976372799271</v>
      </c>
    </row>
    <row r="355" spans="1:15" x14ac:dyDescent="0.2">
      <c r="A355" s="4" t="s">
        <v>711</v>
      </c>
      <c r="B355" s="4" t="s">
        <v>712</v>
      </c>
      <c r="C355" s="5" t="s">
        <v>8</v>
      </c>
      <c r="D355" s="25"/>
      <c r="E355" s="26">
        <v>65767</v>
      </c>
      <c r="F355" s="26">
        <v>186310</v>
      </c>
      <c r="G355" s="26">
        <v>256324</v>
      </c>
      <c r="H355" s="27">
        <f t="shared" si="6"/>
        <v>0.25657761270891527</v>
      </c>
      <c r="I355" s="27">
        <f t="shared" si="7"/>
        <v>0.72685351352194882</v>
      </c>
      <c r="J355" s="28"/>
      <c r="K355" s="26">
        <v>77079</v>
      </c>
      <c r="L355" s="26">
        <v>188237</v>
      </c>
      <c r="M355" s="26">
        <v>269243</v>
      </c>
      <c r="N355" s="27">
        <f t="shared" si="8"/>
        <v>0.28628042326077185</v>
      </c>
      <c r="O355" s="27">
        <f t="shared" si="9"/>
        <v>0.69913423933027041</v>
      </c>
    </row>
    <row r="356" spans="1:15" x14ac:dyDescent="0.2">
      <c r="A356" s="4" t="s">
        <v>713</v>
      </c>
      <c r="B356" s="4" t="s">
        <v>714</v>
      </c>
      <c r="C356" s="5" t="s">
        <v>8</v>
      </c>
      <c r="D356" s="25"/>
      <c r="E356" s="29">
        <v>85525</v>
      </c>
      <c r="F356" s="29">
        <v>186368</v>
      </c>
      <c r="G356" s="29">
        <v>276952</v>
      </c>
      <c r="H356" s="30">
        <f t="shared" si="6"/>
        <v>0.30880802449521938</v>
      </c>
      <c r="I356" s="30">
        <f t="shared" si="7"/>
        <v>0.67292527224934284</v>
      </c>
      <c r="J356" s="28"/>
      <c r="K356" s="29">
        <v>101603</v>
      </c>
      <c r="L356" s="29">
        <v>188283</v>
      </c>
      <c r="M356" s="29">
        <v>294421</v>
      </c>
      <c r="N356" s="30">
        <f t="shared" si="8"/>
        <v>0.34509426977015906</v>
      </c>
      <c r="O356" s="30">
        <f t="shared" si="9"/>
        <v>0.63950261700082534</v>
      </c>
    </row>
    <row r="357" spans="1:15" x14ac:dyDescent="0.2">
      <c r="A357" s="4" t="s">
        <v>715</v>
      </c>
      <c r="B357" s="4" t="s">
        <v>716</v>
      </c>
      <c r="C357" s="5" t="s">
        <v>8</v>
      </c>
      <c r="D357" s="25"/>
      <c r="E357" s="26">
        <v>95226</v>
      </c>
      <c r="F357" s="26">
        <v>171838</v>
      </c>
      <c r="G357" s="26">
        <v>271565</v>
      </c>
      <c r="H357" s="27">
        <f t="shared" si="6"/>
        <v>0.35065638060869403</v>
      </c>
      <c r="I357" s="27">
        <f t="shared" si="7"/>
        <v>0.6327693185793456</v>
      </c>
      <c r="J357" s="28"/>
      <c r="K357" s="26">
        <v>106560</v>
      </c>
      <c r="L357" s="26">
        <v>175163</v>
      </c>
      <c r="M357" s="26">
        <v>285533</v>
      </c>
      <c r="N357" s="27">
        <f t="shared" si="8"/>
        <v>0.37319679336539036</v>
      </c>
      <c r="O357" s="27">
        <f t="shared" si="9"/>
        <v>0.61345974020516014</v>
      </c>
    </row>
    <row r="358" spans="1:15" x14ac:dyDescent="0.2">
      <c r="A358" s="4" t="s">
        <v>717</v>
      </c>
      <c r="B358" s="4" t="s">
        <v>718</v>
      </c>
      <c r="C358" s="5" t="s">
        <v>8</v>
      </c>
      <c r="D358" s="25"/>
      <c r="E358" s="29">
        <v>86133</v>
      </c>
      <c r="F358" s="29">
        <v>169977</v>
      </c>
      <c r="G358" s="29">
        <v>260182</v>
      </c>
      <c r="H358" s="30">
        <f t="shared" si="6"/>
        <v>0.3310490349063348</v>
      </c>
      <c r="I358" s="30">
        <f t="shared" si="7"/>
        <v>0.65330038204026408</v>
      </c>
      <c r="J358" s="28"/>
      <c r="K358" s="29">
        <v>97643</v>
      </c>
      <c r="L358" s="29">
        <v>170600</v>
      </c>
      <c r="M358" s="29">
        <v>272380</v>
      </c>
      <c r="N358" s="30">
        <f t="shared" si="8"/>
        <v>0.35848079888391216</v>
      </c>
      <c r="O358" s="30">
        <f t="shared" si="9"/>
        <v>0.62633086129671778</v>
      </c>
    </row>
    <row r="359" spans="1:15" x14ac:dyDescent="0.2">
      <c r="A359" s="4" t="s">
        <v>719</v>
      </c>
      <c r="B359" s="4" t="s">
        <v>720</v>
      </c>
      <c r="C359" s="8" t="s">
        <v>23</v>
      </c>
      <c r="D359" s="25"/>
      <c r="E359" s="26">
        <v>152939</v>
      </c>
      <c r="F359" s="26">
        <v>116229</v>
      </c>
      <c r="G359" s="26">
        <v>273794</v>
      </c>
      <c r="H359" s="27">
        <f t="shared" si="6"/>
        <v>0.55859149579610945</v>
      </c>
      <c r="I359" s="27">
        <f t="shared" si="7"/>
        <v>0.42451258975726275</v>
      </c>
      <c r="J359" s="28"/>
      <c r="K359" s="26">
        <v>170190</v>
      </c>
      <c r="L359" s="26">
        <v>122232</v>
      </c>
      <c r="M359" s="26">
        <v>296073</v>
      </c>
      <c r="N359" s="27">
        <f t="shared" si="8"/>
        <v>0.57482445207769706</v>
      </c>
      <c r="O359" s="27">
        <f t="shared" si="9"/>
        <v>0.4128441296572129</v>
      </c>
    </row>
    <row r="360" spans="1:15" x14ac:dyDescent="0.2">
      <c r="A360" s="4" t="s">
        <v>721</v>
      </c>
      <c r="B360" s="4" t="s">
        <v>722</v>
      </c>
      <c r="C360" s="5" t="s">
        <v>8</v>
      </c>
      <c r="D360" s="25"/>
      <c r="E360" s="29">
        <v>82297</v>
      </c>
      <c r="F360" s="29">
        <v>192662</v>
      </c>
      <c r="G360" s="29">
        <v>278928</v>
      </c>
      <c r="H360" s="30">
        <f t="shared" si="6"/>
        <v>0.29504746744679633</v>
      </c>
      <c r="I360" s="30">
        <f t="shared" si="7"/>
        <v>0.69072305397808753</v>
      </c>
      <c r="J360" s="28"/>
      <c r="K360" s="29">
        <v>97072</v>
      </c>
      <c r="L360" s="29">
        <v>188258</v>
      </c>
      <c r="M360" s="29">
        <v>289881</v>
      </c>
      <c r="N360" s="30">
        <f t="shared" si="8"/>
        <v>0.33486844601750371</v>
      </c>
      <c r="O360" s="30">
        <f t="shared" si="9"/>
        <v>0.64943200830685699</v>
      </c>
    </row>
    <row r="361" spans="1:15" x14ac:dyDescent="0.2">
      <c r="A361" s="4" t="s">
        <v>723</v>
      </c>
      <c r="B361" s="4" t="s">
        <v>724</v>
      </c>
      <c r="C361" s="5" t="s">
        <v>8</v>
      </c>
      <c r="D361" s="25"/>
      <c r="E361" s="26">
        <v>92042</v>
      </c>
      <c r="F361" s="26">
        <v>183757</v>
      </c>
      <c r="G361" s="26">
        <v>279796</v>
      </c>
      <c r="H361" s="27">
        <f t="shared" si="6"/>
        <v>0.32896110023016767</v>
      </c>
      <c r="I361" s="27">
        <f t="shared" si="7"/>
        <v>0.65675349182976173</v>
      </c>
      <c r="J361" s="28"/>
      <c r="K361" s="26">
        <v>103884</v>
      </c>
      <c r="L361" s="26">
        <v>178286</v>
      </c>
      <c r="M361" s="26">
        <v>285870</v>
      </c>
      <c r="N361" s="27">
        <f t="shared" si="8"/>
        <v>0.36339594920768181</v>
      </c>
      <c r="O361" s="27">
        <f t="shared" si="9"/>
        <v>0.62366110469793967</v>
      </c>
    </row>
    <row r="362" spans="1:15" x14ac:dyDescent="0.2">
      <c r="A362" s="4" t="s">
        <v>725</v>
      </c>
      <c r="B362" s="4" t="s">
        <v>726</v>
      </c>
      <c r="C362" s="5" t="s">
        <v>8</v>
      </c>
      <c r="D362" s="25"/>
      <c r="E362" s="29">
        <v>100213</v>
      </c>
      <c r="F362" s="29">
        <v>201645</v>
      </c>
      <c r="G362" s="29">
        <v>305053</v>
      </c>
      <c r="H362" s="30">
        <f t="shared" si="6"/>
        <v>0.32851012774829291</v>
      </c>
      <c r="I362" s="30">
        <f t="shared" si="7"/>
        <v>0.66101628241649812</v>
      </c>
      <c r="J362" s="28"/>
      <c r="K362" s="29">
        <v>110590</v>
      </c>
      <c r="L362" s="29">
        <v>203070</v>
      </c>
      <c r="M362" s="29">
        <v>316873</v>
      </c>
      <c r="N362" s="30">
        <f t="shared" si="8"/>
        <v>0.34900417517428117</v>
      </c>
      <c r="O362" s="30">
        <f t="shared" si="9"/>
        <v>0.64085611585714153</v>
      </c>
    </row>
    <row r="363" spans="1:15" x14ac:dyDescent="0.2">
      <c r="A363" s="4" t="s">
        <v>727</v>
      </c>
      <c r="B363" s="4" t="s">
        <v>728</v>
      </c>
      <c r="C363" s="8" t="s">
        <v>23</v>
      </c>
      <c r="D363" s="25"/>
      <c r="E363" s="26">
        <v>200568</v>
      </c>
      <c r="F363" s="26">
        <v>53544</v>
      </c>
      <c r="G363" s="26">
        <v>255982</v>
      </c>
      <c r="H363" s="27">
        <f t="shared" si="6"/>
        <v>0.7835238415201069</v>
      </c>
      <c r="I363" s="27">
        <f t="shared" si="7"/>
        <v>0.20917095733293747</v>
      </c>
      <c r="J363" s="28"/>
      <c r="K363" s="26">
        <v>222816</v>
      </c>
      <c r="L363" s="26">
        <v>65047</v>
      </c>
      <c r="M363" s="26">
        <v>289475</v>
      </c>
      <c r="N363" s="27">
        <f t="shared" si="8"/>
        <v>0.76972450125226699</v>
      </c>
      <c r="O363" s="27">
        <f t="shared" si="9"/>
        <v>0.22470679678728733</v>
      </c>
    </row>
    <row r="364" spans="1:15" x14ac:dyDescent="0.2">
      <c r="A364" s="4" t="s">
        <v>729</v>
      </c>
      <c r="B364" s="4" t="s">
        <v>730</v>
      </c>
      <c r="C364" s="5" t="s">
        <v>8</v>
      </c>
      <c r="D364" s="25"/>
      <c r="E364" s="29">
        <v>69858</v>
      </c>
      <c r="F364" s="29">
        <v>181835</v>
      </c>
      <c r="G364" s="29">
        <v>254055</v>
      </c>
      <c r="H364" s="30">
        <f t="shared" si="6"/>
        <v>0.27497195489165732</v>
      </c>
      <c r="I364" s="30">
        <f t="shared" si="7"/>
        <v>0.71573084568302137</v>
      </c>
      <c r="J364" s="28"/>
      <c r="K364" s="29">
        <v>78918</v>
      </c>
      <c r="L364" s="29">
        <v>178520</v>
      </c>
      <c r="M364" s="29">
        <v>258800</v>
      </c>
      <c r="N364" s="30">
        <f t="shared" si="8"/>
        <v>0.30493817619783614</v>
      </c>
      <c r="O364" s="30">
        <f t="shared" si="9"/>
        <v>0.68979907264296758</v>
      </c>
    </row>
    <row r="365" spans="1:15" x14ac:dyDescent="0.2">
      <c r="A365" s="4" t="s">
        <v>731</v>
      </c>
      <c r="B365" s="4" t="s">
        <v>732</v>
      </c>
      <c r="C365" s="5" t="s">
        <v>8</v>
      </c>
      <c r="D365" s="25"/>
      <c r="E365" s="26">
        <v>88751</v>
      </c>
      <c r="F365" s="26">
        <v>157094</v>
      </c>
      <c r="G365" s="26">
        <v>249569</v>
      </c>
      <c r="H365" s="27">
        <f t="shared" si="6"/>
        <v>0.3556170838525618</v>
      </c>
      <c r="I365" s="27">
        <f t="shared" si="7"/>
        <v>0.62946119109344512</v>
      </c>
      <c r="J365" s="28"/>
      <c r="K365" s="26">
        <v>91087</v>
      </c>
      <c r="L365" s="26">
        <v>150665</v>
      </c>
      <c r="M365" s="26">
        <v>243439</v>
      </c>
      <c r="N365" s="27">
        <f t="shared" si="8"/>
        <v>0.37416765596309548</v>
      </c>
      <c r="O365" s="27">
        <f t="shared" si="9"/>
        <v>0.61890247659577968</v>
      </c>
    </row>
    <row r="366" spans="1:15" x14ac:dyDescent="0.2">
      <c r="A366" s="4" t="s">
        <v>733</v>
      </c>
      <c r="B366" s="4" t="s">
        <v>734</v>
      </c>
      <c r="C366" s="5" t="s">
        <v>8</v>
      </c>
      <c r="D366" s="25"/>
      <c r="E366" s="29">
        <v>93290</v>
      </c>
      <c r="F366" s="29">
        <v>175383</v>
      </c>
      <c r="G366" s="29">
        <v>272664</v>
      </c>
      <c r="H366" s="30">
        <f t="shared" si="6"/>
        <v>0.34214271044215594</v>
      </c>
      <c r="I366" s="30">
        <f t="shared" si="7"/>
        <v>0.64322022709268545</v>
      </c>
      <c r="J366" s="28"/>
      <c r="K366" s="29">
        <v>100440</v>
      </c>
      <c r="L366" s="29">
        <v>165158</v>
      </c>
      <c r="M366" s="29">
        <v>267545</v>
      </c>
      <c r="N366" s="30">
        <f t="shared" si="8"/>
        <v>0.37541348184417572</v>
      </c>
      <c r="O366" s="30">
        <f t="shared" si="9"/>
        <v>0.61730923769833113</v>
      </c>
    </row>
    <row r="367" spans="1:15" x14ac:dyDescent="0.2">
      <c r="A367" s="4" t="s">
        <v>735</v>
      </c>
      <c r="B367" s="4" t="s">
        <v>736</v>
      </c>
      <c r="C367" s="5" t="s">
        <v>8</v>
      </c>
      <c r="D367" s="25"/>
      <c r="E367" s="26">
        <v>63559</v>
      </c>
      <c r="F367" s="26">
        <v>189554</v>
      </c>
      <c r="G367" s="26">
        <v>256123</v>
      </c>
      <c r="H367" s="27">
        <f t="shared" si="6"/>
        <v>0.24815811153234968</v>
      </c>
      <c r="I367" s="27">
        <f t="shared" si="7"/>
        <v>0.74008972251613481</v>
      </c>
      <c r="J367" s="28"/>
      <c r="K367" s="26">
        <v>75910</v>
      </c>
      <c r="L367" s="26">
        <v>180772</v>
      </c>
      <c r="M367" s="26">
        <v>258577</v>
      </c>
      <c r="N367" s="27">
        <f t="shared" si="8"/>
        <v>0.29356826013141152</v>
      </c>
      <c r="O367" s="27">
        <f t="shared" si="9"/>
        <v>0.69910316849526444</v>
      </c>
    </row>
    <row r="368" spans="1:15" x14ac:dyDescent="0.2">
      <c r="A368" s="4" t="s">
        <v>737</v>
      </c>
      <c r="B368" s="4" t="s">
        <v>738</v>
      </c>
      <c r="C368" s="5" t="s">
        <v>8</v>
      </c>
      <c r="D368" s="25"/>
      <c r="E368" s="29">
        <v>73085</v>
      </c>
      <c r="F368" s="29">
        <v>137239</v>
      </c>
      <c r="G368" s="29">
        <v>212669</v>
      </c>
      <c r="H368" s="30">
        <f t="shared" si="6"/>
        <v>0.34365610408663227</v>
      </c>
      <c r="I368" s="30">
        <f t="shared" si="7"/>
        <v>0.64531737112602217</v>
      </c>
      <c r="J368" s="28"/>
      <c r="K368" s="29">
        <v>83216</v>
      </c>
      <c r="L368" s="29">
        <v>137698</v>
      </c>
      <c r="M368" s="29">
        <v>222316</v>
      </c>
      <c r="N368" s="30">
        <f t="shared" si="8"/>
        <v>0.37431403947534142</v>
      </c>
      <c r="O368" s="30">
        <f t="shared" si="9"/>
        <v>0.6193796217996006</v>
      </c>
    </row>
    <row r="369" spans="1:15" x14ac:dyDescent="0.2">
      <c r="A369" s="4" t="s">
        <v>739</v>
      </c>
      <c r="B369" s="4" t="s">
        <v>740</v>
      </c>
      <c r="C369" s="5" t="s">
        <v>8</v>
      </c>
      <c r="D369" s="25"/>
      <c r="E369" s="26">
        <v>103444</v>
      </c>
      <c r="F369" s="26">
        <v>146985</v>
      </c>
      <c r="G369" s="26">
        <v>253795</v>
      </c>
      <c r="H369" s="27">
        <f t="shared" si="6"/>
        <v>0.40758880198585473</v>
      </c>
      <c r="I369" s="27">
        <f t="shared" si="7"/>
        <v>0.57914852538466088</v>
      </c>
      <c r="J369" s="28"/>
      <c r="K369" s="26">
        <v>109854</v>
      </c>
      <c r="L369" s="26">
        <v>148503</v>
      </c>
      <c r="M369" s="26">
        <v>259993</v>
      </c>
      <c r="N369" s="27">
        <f t="shared" si="8"/>
        <v>0.42252676033585518</v>
      </c>
      <c r="O369" s="27">
        <f t="shared" si="9"/>
        <v>0.57118076255899197</v>
      </c>
    </row>
    <row r="370" spans="1:15" x14ac:dyDescent="0.2">
      <c r="A370" s="4" t="s">
        <v>741</v>
      </c>
      <c r="B370" s="4" t="s">
        <v>742</v>
      </c>
      <c r="C370" s="5" t="s">
        <v>8</v>
      </c>
      <c r="D370" s="25"/>
      <c r="E370" s="29">
        <v>92499</v>
      </c>
      <c r="F370" s="29">
        <v>143631</v>
      </c>
      <c r="G370" s="29">
        <v>239767</v>
      </c>
      <c r="H370" s="30">
        <f t="shared" si="6"/>
        <v>0.38578703491306143</v>
      </c>
      <c r="I370" s="30">
        <f t="shared" si="7"/>
        <v>0.59904407195318787</v>
      </c>
      <c r="J370" s="28"/>
      <c r="K370" s="29">
        <v>96866</v>
      </c>
      <c r="L370" s="29">
        <v>140692</v>
      </c>
      <c r="M370" s="29">
        <v>239081</v>
      </c>
      <c r="N370" s="30">
        <f t="shared" si="8"/>
        <v>0.40515975757170164</v>
      </c>
      <c r="O370" s="30">
        <f t="shared" si="9"/>
        <v>0.58847001643794361</v>
      </c>
    </row>
    <row r="371" spans="1:15" x14ac:dyDescent="0.2">
      <c r="A371" s="4" t="s">
        <v>743</v>
      </c>
      <c r="B371" s="4" t="s">
        <v>744</v>
      </c>
      <c r="C371" s="5" t="s">
        <v>8</v>
      </c>
      <c r="D371" s="25"/>
      <c r="E371" s="26">
        <v>55273</v>
      </c>
      <c r="F371" s="26">
        <v>195742</v>
      </c>
      <c r="G371" s="26">
        <v>254167</v>
      </c>
      <c r="H371" s="27">
        <f t="shared" si="6"/>
        <v>0.21746725578064816</v>
      </c>
      <c r="I371" s="27">
        <f t="shared" si="7"/>
        <v>0.77013144900793573</v>
      </c>
      <c r="J371" s="28"/>
      <c r="K371" s="26">
        <v>61357</v>
      </c>
      <c r="L371" s="26">
        <v>171408</v>
      </c>
      <c r="M371" s="26">
        <v>234270</v>
      </c>
      <c r="N371" s="27">
        <f t="shared" si="8"/>
        <v>0.26190720109275623</v>
      </c>
      <c r="O371" s="27">
        <f t="shared" si="9"/>
        <v>0.7316685875272122</v>
      </c>
    </row>
    <row r="372" spans="1:15" x14ac:dyDescent="0.2">
      <c r="A372" s="4" t="s">
        <v>745</v>
      </c>
      <c r="B372" s="4" t="s">
        <v>746</v>
      </c>
      <c r="C372" s="8" t="s">
        <v>23</v>
      </c>
      <c r="D372" s="25"/>
      <c r="E372" s="29">
        <v>145332</v>
      </c>
      <c r="F372" s="29">
        <v>39392</v>
      </c>
      <c r="G372" s="29">
        <v>186267</v>
      </c>
      <c r="H372" s="30">
        <f t="shared" si="6"/>
        <v>0.78023482420396528</v>
      </c>
      <c r="I372" s="30">
        <f t="shared" si="7"/>
        <v>0.21148136814357885</v>
      </c>
      <c r="J372" s="28"/>
      <c r="K372" s="29">
        <v>144707</v>
      </c>
      <c r="L372" s="29">
        <v>44520</v>
      </c>
      <c r="M372" s="29">
        <v>189937</v>
      </c>
      <c r="N372" s="30">
        <f t="shared" si="8"/>
        <v>0.76186840899877328</v>
      </c>
      <c r="O372" s="30">
        <f t="shared" si="9"/>
        <v>0.23439350942680995</v>
      </c>
    </row>
    <row r="373" spans="1:15" x14ac:dyDescent="0.2">
      <c r="A373" s="4" t="s">
        <v>747</v>
      </c>
      <c r="B373" s="4" t="s">
        <v>748</v>
      </c>
      <c r="C373" s="5" t="s">
        <v>8</v>
      </c>
      <c r="D373" s="25"/>
      <c r="E373" s="26">
        <v>104839</v>
      </c>
      <c r="F373" s="26">
        <v>159714</v>
      </c>
      <c r="G373" s="26">
        <v>270136</v>
      </c>
      <c r="H373" s="27">
        <f t="shared" si="6"/>
        <v>0.38809710664258001</v>
      </c>
      <c r="I373" s="27">
        <f t="shared" si="7"/>
        <v>0.59123552580922201</v>
      </c>
      <c r="J373" s="28"/>
      <c r="K373" s="26">
        <v>112866</v>
      </c>
      <c r="L373" s="26">
        <v>148867</v>
      </c>
      <c r="M373" s="26">
        <v>264035</v>
      </c>
      <c r="N373" s="27">
        <f t="shared" si="8"/>
        <v>0.42746605563656331</v>
      </c>
      <c r="O373" s="27">
        <f t="shared" si="9"/>
        <v>0.56381540326093127</v>
      </c>
    </row>
    <row r="374" spans="1:15" x14ac:dyDescent="0.2">
      <c r="A374" s="4" t="s">
        <v>749</v>
      </c>
      <c r="B374" s="4" t="s">
        <v>750</v>
      </c>
      <c r="C374" s="5" t="s">
        <v>8</v>
      </c>
      <c r="D374" s="25"/>
      <c r="E374" s="29">
        <v>45070</v>
      </c>
      <c r="F374" s="29">
        <v>182355</v>
      </c>
      <c r="G374" s="29">
        <v>230331</v>
      </c>
      <c r="H374" s="30">
        <f t="shared" si="6"/>
        <v>0.19567492000642553</v>
      </c>
      <c r="I374" s="30">
        <f t="shared" si="7"/>
        <v>0.79170845435481985</v>
      </c>
      <c r="J374" s="28"/>
      <c r="K374" s="29">
        <v>56145</v>
      </c>
      <c r="L374" s="29">
        <v>184238</v>
      </c>
      <c r="M374" s="29">
        <v>242210</v>
      </c>
      <c r="N374" s="30">
        <f t="shared" si="8"/>
        <v>0.23180298088435655</v>
      </c>
      <c r="O374" s="30">
        <f t="shared" si="9"/>
        <v>0.76065397795301593</v>
      </c>
    </row>
    <row r="375" spans="1:15" x14ac:dyDescent="0.2">
      <c r="A375" s="4" t="s">
        <v>751</v>
      </c>
      <c r="B375" s="4" t="s">
        <v>752</v>
      </c>
      <c r="C375" s="5" t="s">
        <v>8</v>
      </c>
      <c r="D375" s="25"/>
      <c r="E375" s="26">
        <v>79147</v>
      </c>
      <c r="F375" s="26">
        <v>166992</v>
      </c>
      <c r="G375" s="26">
        <v>249826</v>
      </c>
      <c r="H375" s="27">
        <f t="shared" si="6"/>
        <v>0.31680849871510569</v>
      </c>
      <c r="I375" s="27">
        <f t="shared" si="7"/>
        <v>0.6684332295277513</v>
      </c>
      <c r="J375" s="28"/>
      <c r="K375" s="26">
        <v>89718</v>
      </c>
      <c r="L375" s="26">
        <v>161030</v>
      </c>
      <c r="M375" s="26">
        <v>252637</v>
      </c>
      <c r="N375" s="27">
        <f t="shared" si="8"/>
        <v>0.35512612958513601</v>
      </c>
      <c r="O375" s="27">
        <f t="shared" si="9"/>
        <v>0.63739673919497142</v>
      </c>
    </row>
    <row r="376" spans="1:15" x14ac:dyDescent="0.2">
      <c r="A376" s="4" t="s">
        <v>753</v>
      </c>
      <c r="B376" s="4" t="s">
        <v>754</v>
      </c>
      <c r="C376" s="5" t="s">
        <v>8</v>
      </c>
      <c r="D376" s="25"/>
      <c r="E376" s="29">
        <v>42521</v>
      </c>
      <c r="F376" s="29">
        <v>184104</v>
      </c>
      <c r="G376" s="29">
        <v>229545</v>
      </c>
      <c r="H376" s="30">
        <f t="shared" si="6"/>
        <v>0.18524036681260755</v>
      </c>
      <c r="I376" s="30">
        <f t="shared" si="7"/>
        <v>0.80203881591844739</v>
      </c>
      <c r="J376" s="28"/>
      <c r="K376" s="29">
        <v>54855</v>
      </c>
      <c r="L376" s="29">
        <v>189600</v>
      </c>
      <c r="M376" s="29">
        <v>246252</v>
      </c>
      <c r="N376" s="30">
        <f t="shared" si="8"/>
        <v>0.22275961210467327</v>
      </c>
      <c r="O376" s="30">
        <f t="shared" si="9"/>
        <v>0.76994298523463767</v>
      </c>
    </row>
    <row r="377" spans="1:15" x14ac:dyDescent="0.2">
      <c r="A377" s="4" t="s">
        <v>755</v>
      </c>
      <c r="B377" s="4" t="s">
        <v>756</v>
      </c>
      <c r="C377" s="5" t="s">
        <v>8</v>
      </c>
      <c r="D377" s="25"/>
      <c r="E377" s="26">
        <v>97958</v>
      </c>
      <c r="F377" s="26">
        <v>147213</v>
      </c>
      <c r="G377" s="26">
        <v>248073</v>
      </c>
      <c r="H377" s="27">
        <f t="shared" si="6"/>
        <v>0.39487570191032478</v>
      </c>
      <c r="I377" s="27">
        <f t="shared" si="7"/>
        <v>0.59342612859924293</v>
      </c>
      <c r="J377" s="28"/>
      <c r="K377" s="26">
        <v>102902</v>
      </c>
      <c r="L377" s="26">
        <v>139304</v>
      </c>
      <c r="M377" s="26">
        <v>243755</v>
      </c>
      <c r="N377" s="27">
        <f t="shared" si="8"/>
        <v>0.42215339172529792</v>
      </c>
      <c r="O377" s="27">
        <f t="shared" si="9"/>
        <v>0.57149186683350084</v>
      </c>
    </row>
    <row r="378" spans="1:15" x14ac:dyDescent="0.2">
      <c r="A378" s="4" t="s">
        <v>757</v>
      </c>
      <c r="B378" s="4" t="s">
        <v>758</v>
      </c>
      <c r="C378" s="8" t="s">
        <v>23</v>
      </c>
      <c r="D378" s="25"/>
      <c r="E378" s="29">
        <v>86941</v>
      </c>
      <c r="F378" s="29">
        <v>62885</v>
      </c>
      <c r="G378" s="29">
        <v>151351</v>
      </c>
      <c r="H378" s="30">
        <f t="shared" si="6"/>
        <v>0.57443294064789796</v>
      </c>
      <c r="I378" s="30">
        <f t="shared" si="7"/>
        <v>0.41549114310443935</v>
      </c>
      <c r="J378" s="28"/>
      <c r="K378" s="29">
        <v>83924</v>
      </c>
      <c r="L378" s="29">
        <v>61282</v>
      </c>
      <c r="M378" s="29">
        <v>146097</v>
      </c>
      <c r="N378" s="30">
        <f t="shared" si="8"/>
        <v>0.57444026913625879</v>
      </c>
      <c r="O378" s="30">
        <f t="shared" si="9"/>
        <v>0.41946104300567433</v>
      </c>
    </row>
    <row r="379" spans="1:15" x14ac:dyDescent="0.2">
      <c r="A379" s="4" t="s">
        <v>759</v>
      </c>
      <c r="B379" s="4" t="s">
        <v>760</v>
      </c>
      <c r="C379" s="8" t="s">
        <v>23</v>
      </c>
      <c r="D379" s="25"/>
      <c r="E379" s="26">
        <v>100993</v>
      </c>
      <c r="F379" s="26">
        <v>54315</v>
      </c>
      <c r="G379" s="26">
        <v>157414</v>
      </c>
      <c r="H379" s="27">
        <f t="shared" si="6"/>
        <v>0.64157571753465381</v>
      </c>
      <c r="I379" s="27">
        <f t="shared" si="7"/>
        <v>0.34504554868054937</v>
      </c>
      <c r="J379" s="28"/>
      <c r="K379" s="26">
        <v>109387</v>
      </c>
      <c r="L379" s="26">
        <v>58764</v>
      </c>
      <c r="M379" s="26">
        <v>169232</v>
      </c>
      <c r="N379" s="27">
        <f t="shared" si="8"/>
        <v>0.64637302637798999</v>
      </c>
      <c r="O379" s="27">
        <f t="shared" si="9"/>
        <v>0.34723929280514326</v>
      </c>
    </row>
    <row r="380" spans="1:15" x14ac:dyDescent="0.2">
      <c r="A380" s="4" t="s">
        <v>761</v>
      </c>
      <c r="B380" s="4" t="s">
        <v>762</v>
      </c>
      <c r="C380" s="5" t="s">
        <v>8</v>
      </c>
      <c r="D380" s="25"/>
      <c r="E380" s="29">
        <v>84531</v>
      </c>
      <c r="F380" s="29">
        <v>135309</v>
      </c>
      <c r="G380" s="29">
        <v>224079</v>
      </c>
      <c r="H380" s="30">
        <f t="shared" si="6"/>
        <v>0.37723749213447044</v>
      </c>
      <c r="I380" s="30">
        <f t="shared" si="7"/>
        <v>0.60384507249675334</v>
      </c>
      <c r="J380" s="28"/>
      <c r="K380" s="29">
        <v>95884</v>
      </c>
      <c r="L380" s="29">
        <v>135738</v>
      </c>
      <c r="M380" s="29">
        <v>233690</v>
      </c>
      <c r="N380" s="30">
        <f t="shared" si="8"/>
        <v>0.4103042492190509</v>
      </c>
      <c r="O380" s="30">
        <f t="shared" si="9"/>
        <v>0.58084642047156487</v>
      </c>
    </row>
    <row r="381" spans="1:15" x14ac:dyDescent="0.2">
      <c r="A381" s="4" t="s">
        <v>763</v>
      </c>
      <c r="B381" s="4" t="s">
        <v>764</v>
      </c>
      <c r="C381" s="8" t="s">
        <v>23</v>
      </c>
      <c r="D381" s="25"/>
      <c r="E381" s="26">
        <v>150129</v>
      </c>
      <c r="F381" s="26">
        <v>44991</v>
      </c>
      <c r="G381" s="26">
        <v>197206</v>
      </c>
      <c r="H381" s="27">
        <f t="shared" si="6"/>
        <v>0.76128008275610271</v>
      </c>
      <c r="I381" s="27">
        <f t="shared" si="7"/>
        <v>0.22814214577649766</v>
      </c>
      <c r="J381" s="28"/>
      <c r="K381" s="26">
        <v>150733</v>
      </c>
      <c r="L381" s="26">
        <v>45069</v>
      </c>
      <c r="M381" s="26">
        <v>196624</v>
      </c>
      <c r="N381" s="27">
        <f t="shared" si="8"/>
        <v>0.76660529742045735</v>
      </c>
      <c r="O381" s="27">
        <f t="shared" si="9"/>
        <v>0.22921413459191148</v>
      </c>
    </row>
    <row r="382" spans="1:15" x14ac:dyDescent="0.2">
      <c r="A382" s="4" t="s">
        <v>765</v>
      </c>
      <c r="B382" s="4" t="s">
        <v>766</v>
      </c>
      <c r="C382" s="5" t="s">
        <v>8</v>
      </c>
      <c r="D382" s="25"/>
      <c r="E382" s="29">
        <v>54461</v>
      </c>
      <c r="F382" s="29">
        <v>160141</v>
      </c>
      <c r="G382" s="29">
        <v>217619</v>
      </c>
      <c r="H382" s="30">
        <f t="shared" si="6"/>
        <v>0.25025847926881384</v>
      </c>
      <c r="I382" s="30">
        <f t="shared" si="7"/>
        <v>0.73587784154876179</v>
      </c>
      <c r="J382" s="28"/>
      <c r="K382" s="29">
        <v>66122</v>
      </c>
      <c r="L382" s="29">
        <v>168553</v>
      </c>
      <c r="M382" s="29">
        <v>236363</v>
      </c>
      <c r="N382" s="30">
        <f t="shared" si="8"/>
        <v>0.27974767624374375</v>
      </c>
      <c r="O382" s="30">
        <f t="shared" si="9"/>
        <v>0.71311076606744705</v>
      </c>
    </row>
    <row r="383" spans="1:15" x14ac:dyDescent="0.2">
      <c r="A383" s="4" t="s">
        <v>767</v>
      </c>
      <c r="B383" s="4" t="s">
        <v>768</v>
      </c>
      <c r="C383" s="8" t="s">
        <v>23</v>
      </c>
      <c r="D383" s="25"/>
      <c r="E383" s="26">
        <v>110663</v>
      </c>
      <c r="F383" s="26">
        <v>74540</v>
      </c>
      <c r="G383" s="26">
        <v>187835</v>
      </c>
      <c r="H383" s="27">
        <f t="shared" si="6"/>
        <v>0.589150051907259</v>
      </c>
      <c r="I383" s="27">
        <f t="shared" si="7"/>
        <v>0.39683765006521682</v>
      </c>
      <c r="J383" s="28"/>
      <c r="K383" s="26">
        <v>115579</v>
      </c>
      <c r="L383" s="26">
        <v>80667</v>
      </c>
      <c r="M383" s="26">
        <v>197670</v>
      </c>
      <c r="N383" s="27">
        <f t="shared" si="8"/>
        <v>0.58470683462336215</v>
      </c>
      <c r="O383" s="27">
        <f t="shared" si="9"/>
        <v>0.40808923964182731</v>
      </c>
    </row>
    <row r="384" spans="1:15" x14ac:dyDescent="0.2">
      <c r="A384" s="4" t="s">
        <v>769</v>
      </c>
      <c r="B384" s="4" t="s">
        <v>770</v>
      </c>
      <c r="C384" s="5" t="s">
        <v>8</v>
      </c>
      <c r="D384" s="25"/>
      <c r="E384" s="29">
        <v>119220</v>
      </c>
      <c r="F384" s="29">
        <v>188241</v>
      </c>
      <c r="G384" s="29">
        <v>314591</v>
      </c>
      <c r="H384" s="30">
        <f t="shared" si="6"/>
        <v>0.37896824766124904</v>
      </c>
      <c r="I384" s="30">
        <f t="shared" si="7"/>
        <v>0.59836740402618005</v>
      </c>
      <c r="J384" s="28"/>
      <c r="K384" s="29">
        <v>133581</v>
      </c>
      <c r="L384" s="29">
        <v>178531</v>
      </c>
      <c r="M384" s="29">
        <v>314971</v>
      </c>
      <c r="N384" s="30">
        <f t="shared" si="8"/>
        <v>0.42410571131945479</v>
      </c>
      <c r="O384" s="30">
        <f t="shared" si="9"/>
        <v>0.56681726254163078</v>
      </c>
    </row>
    <row r="385" spans="1:15" x14ac:dyDescent="0.2">
      <c r="A385" s="4" t="s">
        <v>771</v>
      </c>
      <c r="B385" s="4" t="s">
        <v>772</v>
      </c>
      <c r="C385" s="5" t="s">
        <v>8</v>
      </c>
      <c r="D385" s="25"/>
      <c r="E385" s="26">
        <v>93582</v>
      </c>
      <c r="F385" s="26">
        <v>158452</v>
      </c>
      <c r="G385" s="26">
        <v>255043</v>
      </c>
      <c r="H385" s="27">
        <f t="shared" si="6"/>
        <v>0.36692636143709101</v>
      </c>
      <c r="I385" s="27">
        <f t="shared" si="7"/>
        <v>0.62127562803135161</v>
      </c>
      <c r="J385" s="28"/>
      <c r="K385" s="26">
        <v>91137</v>
      </c>
      <c r="L385" s="26">
        <v>142073</v>
      </c>
      <c r="M385" s="26">
        <v>234671</v>
      </c>
      <c r="N385" s="27">
        <f t="shared" si="8"/>
        <v>0.38836072629340651</v>
      </c>
      <c r="O385" s="27">
        <f t="shared" si="9"/>
        <v>0.60541353639776541</v>
      </c>
    </row>
    <row r="386" spans="1:15" x14ac:dyDescent="0.2">
      <c r="A386" s="4" t="s">
        <v>773</v>
      </c>
      <c r="B386" s="4" t="s">
        <v>774</v>
      </c>
      <c r="C386" s="5" t="s">
        <v>8</v>
      </c>
      <c r="D386" s="25"/>
      <c r="E386" s="29">
        <v>94420</v>
      </c>
      <c r="F386" s="29">
        <v>99666</v>
      </c>
      <c r="G386" s="29">
        <v>196410</v>
      </c>
      <c r="H386" s="30">
        <f t="shared" si="6"/>
        <v>0.48072908711369072</v>
      </c>
      <c r="I386" s="30">
        <f t="shared" si="7"/>
        <v>0.50743852146021073</v>
      </c>
      <c r="J386" s="28"/>
      <c r="K386" s="29">
        <v>96871</v>
      </c>
      <c r="L386" s="29">
        <v>95679</v>
      </c>
      <c r="M386" s="29">
        <v>193782</v>
      </c>
      <c r="N386" s="30">
        <f t="shared" si="8"/>
        <v>0.49989679123964043</v>
      </c>
      <c r="O386" s="30">
        <f t="shared" si="9"/>
        <v>0.49374554912220947</v>
      </c>
    </row>
    <row r="387" spans="1:15" x14ac:dyDescent="0.2">
      <c r="A387" s="4" t="s">
        <v>775</v>
      </c>
      <c r="B387" s="4" t="s">
        <v>776</v>
      </c>
      <c r="C387" s="5" t="s">
        <v>8</v>
      </c>
      <c r="D387" s="25"/>
      <c r="E387" s="26">
        <v>94634</v>
      </c>
      <c r="F387" s="26">
        <v>150547</v>
      </c>
      <c r="G387" s="26">
        <v>249080</v>
      </c>
      <c r="H387" s="27">
        <f t="shared" si="6"/>
        <v>0.37993415770033723</v>
      </c>
      <c r="I387" s="27">
        <f t="shared" si="7"/>
        <v>0.60441223703227875</v>
      </c>
      <c r="J387" s="28"/>
      <c r="K387" s="26">
        <v>105822</v>
      </c>
      <c r="L387" s="26">
        <v>152453</v>
      </c>
      <c r="M387" s="26">
        <v>260216</v>
      </c>
      <c r="N387" s="27">
        <f t="shared" si="8"/>
        <v>0.4066698435146186</v>
      </c>
      <c r="O387" s="27">
        <f t="shared" si="9"/>
        <v>0.5858709687336674</v>
      </c>
    </row>
    <row r="388" spans="1:15" x14ac:dyDescent="0.2">
      <c r="A388" s="4" t="s">
        <v>777</v>
      </c>
      <c r="B388" s="4" t="s">
        <v>778</v>
      </c>
      <c r="C388" s="5" t="s">
        <v>8</v>
      </c>
      <c r="D388" s="25"/>
      <c r="E388" s="29">
        <v>102433</v>
      </c>
      <c r="F388" s="29">
        <v>162279</v>
      </c>
      <c r="G388" s="29">
        <v>270807</v>
      </c>
      <c r="H388" s="30">
        <f t="shared" si="6"/>
        <v>0.37825093147518346</v>
      </c>
      <c r="I388" s="30">
        <f t="shared" si="7"/>
        <v>0.59924226478636078</v>
      </c>
      <c r="J388" s="28"/>
      <c r="K388" s="29">
        <v>117402</v>
      </c>
      <c r="L388" s="29">
        <v>153998</v>
      </c>
      <c r="M388" s="29">
        <v>274061</v>
      </c>
      <c r="N388" s="30">
        <f t="shared" si="8"/>
        <v>0.42837908348871234</v>
      </c>
      <c r="O388" s="30">
        <f t="shared" si="9"/>
        <v>0.56191139928702005</v>
      </c>
    </row>
    <row r="389" spans="1:15" x14ac:dyDescent="0.2">
      <c r="A389" s="4" t="s">
        <v>779</v>
      </c>
      <c r="B389" s="4" t="s">
        <v>780</v>
      </c>
      <c r="C389" s="5" t="s">
        <v>8</v>
      </c>
      <c r="D389" s="25"/>
      <c r="E389" s="26">
        <v>80828</v>
      </c>
      <c r="F389" s="26">
        <v>177941</v>
      </c>
      <c r="G389" s="26">
        <v>263196</v>
      </c>
      <c r="H389" s="27">
        <f t="shared" si="6"/>
        <v>0.30710193164029848</v>
      </c>
      <c r="I389" s="27">
        <f t="shared" si="7"/>
        <v>0.6760779039195125</v>
      </c>
      <c r="J389" s="28"/>
      <c r="K389" s="26">
        <v>90791</v>
      </c>
      <c r="L389" s="26">
        <v>166877</v>
      </c>
      <c r="M389" s="26">
        <v>259505</v>
      </c>
      <c r="N389" s="27">
        <f t="shared" si="8"/>
        <v>0.34986223772181652</v>
      </c>
      <c r="O389" s="27">
        <f t="shared" si="9"/>
        <v>0.64305890059921778</v>
      </c>
    </row>
    <row r="390" spans="1:15" x14ac:dyDescent="0.2">
      <c r="A390" s="4" t="s">
        <v>781</v>
      </c>
      <c r="B390" s="4" t="s">
        <v>782</v>
      </c>
      <c r="C390" s="5" t="s">
        <v>8</v>
      </c>
      <c r="D390" s="25"/>
      <c r="E390" s="29">
        <v>83158</v>
      </c>
      <c r="F390" s="29">
        <v>131821</v>
      </c>
      <c r="G390" s="29">
        <v>217772</v>
      </c>
      <c r="H390" s="30">
        <f t="shared" si="6"/>
        <v>0.38185809011259481</v>
      </c>
      <c r="I390" s="30">
        <f t="shared" si="7"/>
        <v>0.60531656962327574</v>
      </c>
      <c r="J390" s="28"/>
      <c r="K390" s="29">
        <v>91083</v>
      </c>
      <c r="L390" s="29">
        <v>133839</v>
      </c>
      <c r="M390" s="29">
        <v>226488</v>
      </c>
      <c r="N390" s="30">
        <f t="shared" si="8"/>
        <v>0.40215375649041007</v>
      </c>
      <c r="O390" s="30">
        <f t="shared" si="9"/>
        <v>0.59093196990569041</v>
      </c>
    </row>
    <row r="391" spans="1:15" x14ac:dyDescent="0.2">
      <c r="A391" s="4" t="s">
        <v>783</v>
      </c>
      <c r="B391" s="4" t="s">
        <v>784</v>
      </c>
      <c r="C391" s="8" t="s">
        <v>23</v>
      </c>
      <c r="D391" s="25"/>
      <c r="E391" s="26">
        <v>101843</v>
      </c>
      <c r="F391" s="26">
        <v>65372</v>
      </c>
      <c r="G391" s="26">
        <v>168874</v>
      </c>
      <c r="H391" s="27">
        <f t="shared" si="6"/>
        <v>0.60307092862133904</v>
      </c>
      <c r="I391" s="27">
        <f t="shared" si="7"/>
        <v>0.3871051790092021</v>
      </c>
      <c r="J391" s="28"/>
      <c r="K391" s="26">
        <v>92557</v>
      </c>
      <c r="L391" s="26">
        <v>65066</v>
      </c>
      <c r="M391" s="26">
        <v>158418</v>
      </c>
      <c r="N391" s="27">
        <f t="shared" si="8"/>
        <v>0.58425810198336048</v>
      </c>
      <c r="O391" s="27">
        <f t="shared" si="9"/>
        <v>0.41072352889191882</v>
      </c>
    </row>
    <row r="392" spans="1:15" x14ac:dyDescent="0.2">
      <c r="A392" s="4" t="s">
        <v>785</v>
      </c>
      <c r="B392" s="4" t="s">
        <v>786</v>
      </c>
      <c r="C392" s="8" t="s">
        <v>23</v>
      </c>
      <c r="D392" s="25"/>
      <c r="E392" s="29">
        <v>75720</v>
      </c>
      <c r="F392" s="29">
        <v>37909</v>
      </c>
      <c r="G392" s="29">
        <v>114901</v>
      </c>
      <c r="H392" s="30">
        <f t="shared" si="6"/>
        <v>0.65900209745781146</v>
      </c>
      <c r="I392" s="30">
        <f t="shared" si="7"/>
        <v>0.32992750280676408</v>
      </c>
      <c r="J392" s="28"/>
      <c r="K392" s="29">
        <v>70286</v>
      </c>
      <c r="L392" s="29">
        <v>41843</v>
      </c>
      <c r="M392" s="29">
        <v>112823</v>
      </c>
      <c r="N392" s="30">
        <f t="shared" si="8"/>
        <v>0.62297581166960636</v>
      </c>
      <c r="O392" s="30">
        <f t="shared" si="9"/>
        <v>0.37087296030064792</v>
      </c>
    </row>
    <row r="393" spans="1:15" x14ac:dyDescent="0.2">
      <c r="A393" s="4" t="s">
        <v>787</v>
      </c>
      <c r="B393" s="4" t="s">
        <v>788</v>
      </c>
      <c r="C393" s="8" t="s">
        <v>23</v>
      </c>
      <c r="D393" s="25"/>
      <c r="E393" s="26">
        <v>175637</v>
      </c>
      <c r="F393" s="26">
        <v>43333</v>
      </c>
      <c r="G393" s="26">
        <v>220565</v>
      </c>
      <c r="H393" s="27">
        <f t="shared" si="6"/>
        <v>0.79630494412078068</v>
      </c>
      <c r="I393" s="27">
        <f t="shared" si="7"/>
        <v>0.19646362750209689</v>
      </c>
      <c r="J393" s="28"/>
      <c r="K393" s="26">
        <v>175237</v>
      </c>
      <c r="L393" s="26">
        <v>47144</v>
      </c>
      <c r="M393" s="26">
        <v>223182</v>
      </c>
      <c r="N393" s="27">
        <f t="shared" si="8"/>
        <v>0.78517532775940713</v>
      </c>
      <c r="O393" s="27">
        <f t="shared" si="9"/>
        <v>0.2112356731277612</v>
      </c>
    </row>
    <row r="394" spans="1:15" x14ac:dyDescent="0.2">
      <c r="A394" s="4" t="s">
        <v>789</v>
      </c>
      <c r="B394" s="4" t="s">
        <v>790</v>
      </c>
      <c r="C394" s="5" t="s">
        <v>8</v>
      </c>
      <c r="D394" s="25"/>
      <c r="E394" s="29">
        <v>92842</v>
      </c>
      <c r="F394" s="29">
        <v>144634</v>
      </c>
      <c r="G394" s="29">
        <v>242714</v>
      </c>
      <c r="H394" s="30">
        <f t="shared" si="6"/>
        <v>0.38251604769399378</v>
      </c>
      <c r="I394" s="30">
        <f t="shared" si="7"/>
        <v>0.59590299694290394</v>
      </c>
      <c r="J394" s="28"/>
      <c r="K394" s="29">
        <v>103359</v>
      </c>
      <c r="L394" s="29">
        <v>135601</v>
      </c>
      <c r="M394" s="29">
        <v>241425</v>
      </c>
      <c r="N394" s="30">
        <f t="shared" si="8"/>
        <v>0.42812053432743086</v>
      </c>
      <c r="O394" s="30">
        <f t="shared" si="9"/>
        <v>0.56166925546235891</v>
      </c>
    </row>
    <row r="395" spans="1:15" x14ac:dyDescent="0.2">
      <c r="A395" s="4" t="s">
        <v>791</v>
      </c>
      <c r="B395" s="4" t="s">
        <v>792</v>
      </c>
      <c r="C395" s="5" t="s">
        <v>8</v>
      </c>
      <c r="D395" s="25"/>
      <c r="E395" s="26">
        <v>106563</v>
      </c>
      <c r="F395" s="26">
        <v>146420</v>
      </c>
      <c r="G395" s="26">
        <v>256873</v>
      </c>
      <c r="H395" s="27">
        <f t="shared" si="6"/>
        <v>0.4148470255729485</v>
      </c>
      <c r="I395" s="27">
        <f t="shared" si="7"/>
        <v>0.57000930420869456</v>
      </c>
      <c r="J395" s="28"/>
      <c r="K395" s="26">
        <v>117231</v>
      </c>
      <c r="L395" s="26">
        <v>147226</v>
      </c>
      <c r="M395" s="26">
        <v>266302</v>
      </c>
      <c r="N395" s="27">
        <f t="shared" si="8"/>
        <v>0.44021824845476187</v>
      </c>
      <c r="O395" s="27">
        <f t="shared" si="9"/>
        <v>0.55285352719844383</v>
      </c>
    </row>
    <row r="396" spans="1:15" x14ac:dyDescent="0.2">
      <c r="A396" s="4" t="s">
        <v>793</v>
      </c>
      <c r="B396" s="4" t="s">
        <v>794</v>
      </c>
      <c r="C396" s="8" t="s">
        <v>23</v>
      </c>
      <c r="D396" s="25"/>
      <c r="E396" s="29">
        <v>86686</v>
      </c>
      <c r="F396" s="29">
        <v>32641</v>
      </c>
      <c r="G396" s="29">
        <v>120480</v>
      </c>
      <c r="H396" s="30">
        <f t="shared" si="6"/>
        <v>0.71950531208499335</v>
      </c>
      <c r="I396" s="30">
        <f t="shared" si="7"/>
        <v>0.27092463479415668</v>
      </c>
      <c r="J396" s="28"/>
      <c r="K396" s="29">
        <v>90180</v>
      </c>
      <c r="L396" s="29">
        <v>40290</v>
      </c>
      <c r="M396" s="29">
        <v>131182</v>
      </c>
      <c r="N396" s="30">
        <f t="shared" si="8"/>
        <v>0.68744187464743634</v>
      </c>
      <c r="O396" s="30">
        <f t="shared" si="9"/>
        <v>0.30713055144760715</v>
      </c>
    </row>
    <row r="397" spans="1:15" x14ac:dyDescent="0.2">
      <c r="A397" s="4" t="s">
        <v>795</v>
      </c>
      <c r="B397" s="4" t="s">
        <v>796</v>
      </c>
      <c r="C397" s="8" t="s">
        <v>23</v>
      </c>
      <c r="D397" s="25"/>
      <c r="E397" s="26">
        <v>90885</v>
      </c>
      <c r="F397" s="26">
        <v>57303</v>
      </c>
      <c r="G397" s="26">
        <v>149511</v>
      </c>
      <c r="H397" s="27">
        <f t="shared" si="6"/>
        <v>0.60788169432349459</v>
      </c>
      <c r="I397" s="27">
        <f t="shared" si="7"/>
        <v>0.38326945843449645</v>
      </c>
      <c r="J397" s="28"/>
      <c r="K397" s="26">
        <v>90178</v>
      </c>
      <c r="L397" s="26">
        <v>58707</v>
      </c>
      <c r="M397" s="26">
        <v>149742</v>
      </c>
      <c r="N397" s="27">
        <f t="shared" si="8"/>
        <v>0.60222248934834577</v>
      </c>
      <c r="O397" s="27">
        <f t="shared" si="9"/>
        <v>0.39205433345354007</v>
      </c>
    </row>
    <row r="398" spans="1:15" x14ac:dyDescent="0.2">
      <c r="A398" s="4" t="s">
        <v>797</v>
      </c>
      <c r="B398" s="4" t="s">
        <v>798</v>
      </c>
      <c r="C398" s="8" t="s">
        <v>23</v>
      </c>
      <c r="D398" s="25"/>
      <c r="E398" s="29">
        <v>105545</v>
      </c>
      <c r="F398" s="29">
        <v>57989</v>
      </c>
      <c r="G398" s="29">
        <v>167467</v>
      </c>
      <c r="H398" s="30">
        <f t="shared" si="6"/>
        <v>0.63024357037505896</v>
      </c>
      <c r="I398" s="30">
        <f t="shared" si="7"/>
        <v>0.3462712056703709</v>
      </c>
      <c r="J398" s="28"/>
      <c r="K398" s="29">
        <v>111790</v>
      </c>
      <c r="L398" s="29">
        <v>62764</v>
      </c>
      <c r="M398" s="29">
        <v>176150</v>
      </c>
      <c r="N398" s="30">
        <f t="shared" si="8"/>
        <v>0.63462957706500145</v>
      </c>
      <c r="O398" s="30">
        <f t="shared" si="9"/>
        <v>0.35630996309963098</v>
      </c>
    </row>
    <row r="399" spans="1:15" x14ac:dyDescent="0.2">
      <c r="A399" s="4" t="s">
        <v>799</v>
      </c>
      <c r="B399" s="4" t="s">
        <v>800</v>
      </c>
      <c r="C399" s="5" t="s">
        <v>8</v>
      </c>
      <c r="D399" s="25"/>
      <c r="E399" s="26">
        <v>61786</v>
      </c>
      <c r="F399" s="26">
        <v>175883</v>
      </c>
      <c r="G399" s="26">
        <v>240433</v>
      </c>
      <c r="H399" s="27">
        <f t="shared" si="6"/>
        <v>0.25697803546102238</v>
      </c>
      <c r="I399" s="27">
        <f t="shared" si="7"/>
        <v>0.73152603843898301</v>
      </c>
      <c r="J399" s="28"/>
      <c r="K399" s="26">
        <v>70543</v>
      </c>
      <c r="L399" s="26">
        <v>165899</v>
      </c>
      <c r="M399" s="26">
        <v>238206</v>
      </c>
      <c r="N399" s="27">
        <f t="shared" si="8"/>
        <v>0.29614283435345878</v>
      </c>
      <c r="O399" s="27">
        <f t="shared" si="9"/>
        <v>0.69645181061770067</v>
      </c>
    </row>
    <row r="400" spans="1:15" x14ac:dyDescent="0.2">
      <c r="A400" s="4" t="s">
        <v>801</v>
      </c>
      <c r="B400" s="4" t="s">
        <v>802</v>
      </c>
      <c r="C400" s="5" t="s">
        <v>8</v>
      </c>
      <c r="D400" s="25"/>
      <c r="E400" s="29">
        <v>51098</v>
      </c>
      <c r="F400" s="29">
        <v>193672</v>
      </c>
      <c r="G400" s="29">
        <v>250278</v>
      </c>
      <c r="H400" s="30">
        <f t="shared" si="6"/>
        <v>0.20416496855496688</v>
      </c>
      <c r="I400" s="30">
        <f t="shared" si="7"/>
        <v>0.77382750381575682</v>
      </c>
      <c r="J400" s="28"/>
      <c r="K400" s="29">
        <v>69594</v>
      </c>
      <c r="L400" s="29">
        <v>160433</v>
      </c>
      <c r="M400" s="29">
        <v>237027</v>
      </c>
      <c r="N400" s="30">
        <f t="shared" si="8"/>
        <v>0.29361212013821208</v>
      </c>
      <c r="O400" s="30">
        <f t="shared" si="9"/>
        <v>0.67685537934496909</v>
      </c>
    </row>
    <row r="401" spans="1:15" x14ac:dyDescent="0.2">
      <c r="A401" s="4" t="s">
        <v>803</v>
      </c>
      <c r="B401" s="4" t="s">
        <v>804</v>
      </c>
      <c r="C401" s="5" t="s">
        <v>8</v>
      </c>
      <c r="D401" s="25"/>
      <c r="E401" s="26">
        <v>74556</v>
      </c>
      <c r="F401" s="26">
        <v>173513</v>
      </c>
      <c r="G401" s="26">
        <v>255201</v>
      </c>
      <c r="H401" s="27">
        <f t="shared" si="6"/>
        <v>0.29214619064972314</v>
      </c>
      <c r="I401" s="27">
        <f t="shared" si="7"/>
        <v>0.67990721039494362</v>
      </c>
      <c r="J401" s="28"/>
      <c r="K401" s="26">
        <v>94123</v>
      </c>
      <c r="L401" s="26">
        <v>143331</v>
      </c>
      <c r="M401" s="26">
        <v>244925</v>
      </c>
      <c r="N401" s="27">
        <f t="shared" si="8"/>
        <v>0.384293150964581</v>
      </c>
      <c r="O401" s="27">
        <f t="shared" si="9"/>
        <v>0.58520363376543838</v>
      </c>
    </row>
    <row r="402" spans="1:15" x14ac:dyDescent="0.2">
      <c r="A402" s="4" t="s">
        <v>805</v>
      </c>
      <c r="B402" s="4" t="s">
        <v>806</v>
      </c>
      <c r="C402" s="5" t="s">
        <v>8</v>
      </c>
      <c r="D402" s="25"/>
      <c r="E402" s="29">
        <v>51791</v>
      </c>
      <c r="F402" s="29">
        <v>208121</v>
      </c>
      <c r="G402" s="29">
        <v>265856</v>
      </c>
      <c r="H402" s="30">
        <f t="shared" si="6"/>
        <v>0.19480846774193547</v>
      </c>
      <c r="I402" s="30">
        <f t="shared" si="7"/>
        <v>0.78283356403466542</v>
      </c>
      <c r="J402" s="28"/>
      <c r="K402" s="29">
        <v>73625</v>
      </c>
      <c r="L402" s="29">
        <v>168358</v>
      </c>
      <c r="M402" s="29">
        <v>249389</v>
      </c>
      <c r="N402" s="30">
        <f t="shared" si="8"/>
        <v>0.29522152139829744</v>
      </c>
      <c r="O402" s="30">
        <f t="shared" si="9"/>
        <v>0.67508190016400083</v>
      </c>
    </row>
    <row r="403" spans="1:15" x14ac:dyDescent="0.2">
      <c r="A403" s="4" t="s">
        <v>807</v>
      </c>
      <c r="B403" s="4" t="s">
        <v>808</v>
      </c>
      <c r="C403" s="5" t="s">
        <v>8</v>
      </c>
      <c r="D403" s="25"/>
      <c r="E403" s="26">
        <v>74368</v>
      </c>
      <c r="F403" s="26">
        <v>165294</v>
      </c>
      <c r="G403" s="26">
        <v>246066</v>
      </c>
      <c r="H403" s="27">
        <f t="shared" si="6"/>
        <v>0.30222785756666909</v>
      </c>
      <c r="I403" s="27">
        <f t="shared" si="7"/>
        <v>0.67174660456950575</v>
      </c>
      <c r="J403" s="28"/>
      <c r="K403" s="26">
        <v>90328</v>
      </c>
      <c r="L403" s="26">
        <v>123909</v>
      </c>
      <c r="M403" s="26">
        <v>220996</v>
      </c>
      <c r="N403" s="27">
        <f t="shared" si="8"/>
        <v>0.40873137975347967</v>
      </c>
      <c r="O403" s="27">
        <f t="shared" si="9"/>
        <v>0.56068435627794166</v>
      </c>
    </row>
    <row r="404" spans="1:15" x14ac:dyDescent="0.2">
      <c r="A404" s="4" t="s">
        <v>809</v>
      </c>
      <c r="B404" s="4" t="s">
        <v>810</v>
      </c>
      <c r="C404" s="5" t="s">
        <v>8</v>
      </c>
      <c r="D404" s="25"/>
      <c r="E404" s="29">
        <v>166510</v>
      </c>
      <c r="F404" s="29">
        <v>193647</v>
      </c>
      <c r="G404" s="29">
        <v>365040</v>
      </c>
      <c r="H404" s="30">
        <f t="shared" si="6"/>
        <v>0.45614179268025423</v>
      </c>
      <c r="I404" s="30">
        <f t="shared" si="7"/>
        <v>0.53048159105851411</v>
      </c>
      <c r="J404" s="28"/>
      <c r="K404" s="29">
        <v>162652</v>
      </c>
      <c r="L404" s="29">
        <v>181417</v>
      </c>
      <c r="M404" s="29">
        <v>346877</v>
      </c>
      <c r="N404" s="30">
        <f t="shared" si="8"/>
        <v>0.46890396307624893</v>
      </c>
      <c r="O404" s="30">
        <f t="shared" si="9"/>
        <v>0.52300094846299983</v>
      </c>
    </row>
    <row r="405" spans="1:15" x14ac:dyDescent="0.2">
      <c r="A405" s="4" t="s">
        <v>811</v>
      </c>
      <c r="B405" s="4" t="s">
        <v>812</v>
      </c>
      <c r="C405" s="5" t="s">
        <v>8</v>
      </c>
      <c r="D405" s="25"/>
      <c r="E405" s="26">
        <v>159695</v>
      </c>
      <c r="F405" s="26">
        <v>154935</v>
      </c>
      <c r="G405" s="26">
        <v>318849</v>
      </c>
      <c r="H405" s="27">
        <f t="shared" si="6"/>
        <v>0.50084836395911547</v>
      </c>
      <c r="I405" s="27">
        <f t="shared" si="7"/>
        <v>0.48591966730333169</v>
      </c>
      <c r="J405" s="28"/>
      <c r="K405" s="26">
        <v>163790</v>
      </c>
      <c r="L405" s="26">
        <v>158308</v>
      </c>
      <c r="M405" s="26">
        <v>324962</v>
      </c>
      <c r="N405" s="27">
        <f t="shared" si="8"/>
        <v>0.50402816329293887</v>
      </c>
      <c r="O405" s="27">
        <f t="shared" si="9"/>
        <v>0.48715849853213605</v>
      </c>
    </row>
    <row r="406" spans="1:15" x14ac:dyDescent="0.2">
      <c r="A406" s="4" t="s">
        <v>813</v>
      </c>
      <c r="B406" s="4" t="s">
        <v>814</v>
      </c>
      <c r="C406" s="8" t="s">
        <v>23</v>
      </c>
      <c r="D406" s="25"/>
      <c r="E406" s="29">
        <v>262265</v>
      </c>
      <c r="F406" s="29">
        <v>66391</v>
      </c>
      <c r="G406" s="29">
        <v>332166</v>
      </c>
      <c r="H406" s="30">
        <f t="shared" si="6"/>
        <v>0.78956003925747964</v>
      </c>
      <c r="I406" s="30">
        <f t="shared" si="7"/>
        <v>0.19987295508872069</v>
      </c>
      <c r="J406" s="28"/>
      <c r="K406" s="29">
        <v>258333</v>
      </c>
      <c r="L406" s="29">
        <v>68627</v>
      </c>
      <c r="M406" s="29">
        <v>328963</v>
      </c>
      <c r="N406" s="30">
        <f t="shared" si="8"/>
        <v>0.7852950027814678</v>
      </c>
      <c r="O406" s="30">
        <f t="shared" si="9"/>
        <v>0.20861616655976509</v>
      </c>
    </row>
    <row r="407" spans="1:15" x14ac:dyDescent="0.2">
      <c r="A407" s="4" t="s">
        <v>815</v>
      </c>
      <c r="B407" s="4" t="s">
        <v>816</v>
      </c>
      <c r="C407" s="5" t="s">
        <v>8</v>
      </c>
      <c r="D407" s="25"/>
      <c r="E407" s="26">
        <v>176311</v>
      </c>
      <c r="F407" s="26">
        <v>181265</v>
      </c>
      <c r="G407" s="26">
        <v>361496</v>
      </c>
      <c r="H407" s="27">
        <f t="shared" si="6"/>
        <v>0.48772600526700155</v>
      </c>
      <c r="I407" s="27">
        <f t="shared" si="7"/>
        <v>0.50143016796866358</v>
      </c>
      <c r="J407" s="28"/>
      <c r="K407" s="26">
        <v>170511</v>
      </c>
      <c r="L407" s="26">
        <v>175785</v>
      </c>
      <c r="M407" s="26">
        <v>348829</v>
      </c>
      <c r="N407" s="27">
        <f t="shared" si="8"/>
        <v>0.48880970332168483</v>
      </c>
      <c r="O407" s="27">
        <f t="shared" si="9"/>
        <v>0.50392885912581808</v>
      </c>
    </row>
    <row r="408" spans="1:15" x14ac:dyDescent="0.2">
      <c r="A408" s="4" t="s">
        <v>817</v>
      </c>
      <c r="B408" s="4" t="s">
        <v>818</v>
      </c>
      <c r="C408" s="5" t="s">
        <v>8</v>
      </c>
      <c r="D408" s="25"/>
      <c r="E408" s="29">
        <v>164555</v>
      </c>
      <c r="F408" s="29">
        <v>188485</v>
      </c>
      <c r="G408" s="29">
        <v>358689</v>
      </c>
      <c r="H408" s="30">
        <f t="shared" si="6"/>
        <v>0.45876790199866735</v>
      </c>
      <c r="I408" s="30">
        <f t="shared" si="7"/>
        <v>0.52548307865588295</v>
      </c>
      <c r="J408" s="28"/>
      <c r="K408" s="29">
        <v>167885</v>
      </c>
      <c r="L408" s="29">
        <v>178909</v>
      </c>
      <c r="M408" s="29">
        <v>350173</v>
      </c>
      <c r="N408" s="30">
        <f t="shared" si="8"/>
        <v>0.47943445097137699</v>
      </c>
      <c r="O408" s="30">
        <f t="shared" si="9"/>
        <v>0.51091603293229348</v>
      </c>
    </row>
    <row r="409" spans="1:15" x14ac:dyDescent="0.2">
      <c r="A409" s="4" t="s">
        <v>819</v>
      </c>
      <c r="B409" s="4" t="s">
        <v>820</v>
      </c>
      <c r="C409" s="5" t="s">
        <v>8</v>
      </c>
      <c r="D409" s="25"/>
      <c r="E409" s="26">
        <v>132153</v>
      </c>
      <c r="F409" s="26">
        <v>197045</v>
      </c>
      <c r="G409" s="26">
        <v>334864</v>
      </c>
      <c r="H409" s="27">
        <f t="shared" si="6"/>
        <v>0.39464678197716085</v>
      </c>
      <c r="I409" s="27">
        <f t="shared" si="7"/>
        <v>0.58843291604950065</v>
      </c>
      <c r="J409" s="28"/>
      <c r="K409" s="26">
        <v>137661</v>
      </c>
      <c r="L409" s="26">
        <v>186825</v>
      </c>
      <c r="M409" s="26">
        <v>327937</v>
      </c>
      <c r="N409" s="27">
        <f t="shared" si="8"/>
        <v>0.41977879897663273</v>
      </c>
      <c r="O409" s="27">
        <f t="shared" si="9"/>
        <v>0.56969783830430842</v>
      </c>
    </row>
    <row r="410" spans="1:15" x14ac:dyDescent="0.2">
      <c r="A410" s="4" t="s">
        <v>821</v>
      </c>
      <c r="B410" s="4" t="s">
        <v>822</v>
      </c>
      <c r="C410" s="5" t="s">
        <v>8</v>
      </c>
      <c r="D410" s="25"/>
      <c r="E410" s="29">
        <v>163331</v>
      </c>
      <c r="F410" s="29">
        <v>222915</v>
      </c>
      <c r="G410" s="29">
        <v>391482</v>
      </c>
      <c r="H410" s="30">
        <f t="shared" si="6"/>
        <v>0.4172120301827415</v>
      </c>
      <c r="I410" s="30">
        <f t="shared" si="7"/>
        <v>0.5694131530951615</v>
      </c>
      <c r="J410" s="28"/>
      <c r="K410" s="29">
        <v>161442</v>
      </c>
      <c r="L410" s="29">
        <v>205672</v>
      </c>
      <c r="M410" s="29">
        <v>370105</v>
      </c>
      <c r="N410" s="30">
        <f t="shared" si="8"/>
        <v>0.43620594155712566</v>
      </c>
      <c r="O410" s="30">
        <f t="shared" si="9"/>
        <v>0.55571256805501146</v>
      </c>
    </row>
    <row r="411" spans="1:15" x14ac:dyDescent="0.2">
      <c r="A411" s="4" t="s">
        <v>823</v>
      </c>
      <c r="B411" s="4" t="s">
        <v>824</v>
      </c>
      <c r="C411" s="8" t="s">
        <v>23</v>
      </c>
      <c r="D411" s="25"/>
      <c r="E411" s="26">
        <v>243746</v>
      </c>
      <c r="F411" s="26">
        <v>111518</v>
      </c>
      <c r="G411" s="26">
        <v>359743</v>
      </c>
      <c r="H411" s="27">
        <f t="shared" si="6"/>
        <v>0.67755592186644353</v>
      </c>
      <c r="I411" s="27">
        <f t="shared" si="7"/>
        <v>0.30999352315402939</v>
      </c>
      <c r="J411" s="28"/>
      <c r="K411" s="26">
        <v>236784</v>
      </c>
      <c r="L411" s="26">
        <v>105894</v>
      </c>
      <c r="M411" s="26">
        <v>345506</v>
      </c>
      <c r="N411" s="27">
        <f t="shared" si="8"/>
        <v>0.68532529102244244</v>
      </c>
      <c r="O411" s="27">
        <f t="shared" si="9"/>
        <v>0.30648961233668881</v>
      </c>
    </row>
    <row r="412" spans="1:15" x14ac:dyDescent="0.2">
      <c r="A412" s="4" t="s">
        <v>825</v>
      </c>
      <c r="B412" s="4" t="s">
        <v>826</v>
      </c>
      <c r="C412" s="5" t="s">
        <v>8</v>
      </c>
      <c r="D412" s="25"/>
      <c r="E412" s="29">
        <v>108641</v>
      </c>
      <c r="F412" s="29">
        <v>196354</v>
      </c>
      <c r="G412" s="29">
        <v>311291</v>
      </c>
      <c r="H412" s="30">
        <f t="shared" si="6"/>
        <v>0.34900141668085488</v>
      </c>
      <c r="I412" s="30">
        <f t="shared" si="7"/>
        <v>0.63077313510509458</v>
      </c>
      <c r="J412" s="28"/>
      <c r="K412" s="29">
        <v>123424</v>
      </c>
      <c r="L412" s="29">
        <v>179007</v>
      </c>
      <c r="M412" s="29">
        <v>306770</v>
      </c>
      <c r="N412" s="30">
        <f t="shared" si="8"/>
        <v>0.40233399615347004</v>
      </c>
      <c r="O412" s="30">
        <f t="shared" si="9"/>
        <v>0.58352185676565504</v>
      </c>
    </row>
    <row r="413" spans="1:15" x14ac:dyDescent="0.2">
      <c r="A413" s="4" t="s">
        <v>827</v>
      </c>
      <c r="B413" s="4" t="s">
        <v>828</v>
      </c>
      <c r="C413" s="5" t="s">
        <v>8</v>
      </c>
      <c r="D413" s="25"/>
      <c r="E413" s="26">
        <v>182432</v>
      </c>
      <c r="F413" s="26">
        <v>186650</v>
      </c>
      <c r="G413" s="26">
        <v>373913</v>
      </c>
      <c r="H413" s="27">
        <f t="shared" si="6"/>
        <v>0.48789959161623159</v>
      </c>
      <c r="I413" s="27">
        <f t="shared" si="7"/>
        <v>0.49918029060235936</v>
      </c>
      <c r="J413" s="28"/>
      <c r="K413" s="26">
        <v>172360</v>
      </c>
      <c r="L413" s="26">
        <v>162984</v>
      </c>
      <c r="M413" s="26">
        <v>337972</v>
      </c>
      <c r="N413" s="27">
        <f t="shared" si="8"/>
        <v>0.50998307552104905</v>
      </c>
      <c r="O413" s="27">
        <f t="shared" si="9"/>
        <v>0.48224113240150074</v>
      </c>
    </row>
    <row r="414" spans="1:15" x14ac:dyDescent="0.2">
      <c r="A414" s="4" t="s">
        <v>829</v>
      </c>
      <c r="B414" s="4" t="s">
        <v>830</v>
      </c>
      <c r="C414" s="8" t="s">
        <v>23</v>
      </c>
      <c r="D414" s="25"/>
      <c r="E414" s="29">
        <v>212181</v>
      </c>
      <c r="F414" s="29">
        <v>123317</v>
      </c>
      <c r="G414" s="29">
        <v>339710</v>
      </c>
      <c r="H414" s="30">
        <f t="shared" si="6"/>
        <v>0.62459450707956787</v>
      </c>
      <c r="I414" s="30">
        <f t="shared" si="7"/>
        <v>0.36300668217008625</v>
      </c>
      <c r="J414" s="28"/>
      <c r="K414" s="29">
        <v>204691</v>
      </c>
      <c r="L414" s="29">
        <v>121578</v>
      </c>
      <c r="M414" s="29">
        <v>328810</v>
      </c>
      <c r="N414" s="30">
        <f t="shared" si="8"/>
        <v>0.62252060460448289</v>
      </c>
      <c r="O414" s="30">
        <f t="shared" si="9"/>
        <v>0.3697515282381923</v>
      </c>
    </row>
    <row r="415" spans="1:15" x14ac:dyDescent="0.2">
      <c r="A415" s="4" t="s">
        <v>831</v>
      </c>
      <c r="B415" s="4" t="s">
        <v>832</v>
      </c>
      <c r="C415" s="8" t="s">
        <v>23</v>
      </c>
      <c r="D415" s="25"/>
      <c r="E415" s="26">
        <v>199239</v>
      </c>
      <c r="F415" s="26">
        <v>92698</v>
      </c>
      <c r="G415" s="26">
        <v>297247</v>
      </c>
      <c r="H415" s="27">
        <f t="shared" si="6"/>
        <v>0.67028094480347988</v>
      </c>
      <c r="I415" s="27">
        <f t="shared" si="7"/>
        <v>0.31185512385322645</v>
      </c>
      <c r="J415" s="28"/>
      <c r="K415" s="26">
        <v>219262</v>
      </c>
      <c r="L415" s="26">
        <v>98974</v>
      </c>
      <c r="M415" s="26">
        <v>323582</v>
      </c>
      <c r="N415" s="27">
        <f t="shared" si="8"/>
        <v>0.67760876686589488</v>
      </c>
      <c r="O415" s="27">
        <f t="shared" si="9"/>
        <v>0.30586991859868595</v>
      </c>
    </row>
    <row r="416" spans="1:15" x14ac:dyDescent="0.2">
      <c r="A416" s="4" t="s">
        <v>833</v>
      </c>
      <c r="B416" s="4" t="s">
        <v>834</v>
      </c>
      <c r="C416" s="8" t="s">
        <v>23</v>
      </c>
      <c r="D416" s="25"/>
      <c r="E416" s="29">
        <v>183802</v>
      </c>
      <c r="F416" s="29">
        <v>147074</v>
      </c>
      <c r="G416" s="29">
        <v>339489</v>
      </c>
      <c r="H416" s="30">
        <f t="shared" si="6"/>
        <v>0.54140782175563862</v>
      </c>
      <c r="I416" s="30">
        <f t="shared" si="7"/>
        <v>0.43322169495918866</v>
      </c>
      <c r="J416" s="28"/>
      <c r="K416" s="29">
        <v>185907</v>
      </c>
      <c r="L416" s="29">
        <v>138307</v>
      </c>
      <c r="M416" s="29">
        <v>330145</v>
      </c>
      <c r="N416" s="30">
        <f t="shared" si="8"/>
        <v>0.56310711959896409</v>
      </c>
      <c r="O416" s="30">
        <f t="shared" si="9"/>
        <v>0.41892804676732953</v>
      </c>
    </row>
    <row r="417" spans="1:15" x14ac:dyDescent="0.2">
      <c r="A417" s="4" t="s">
        <v>835</v>
      </c>
      <c r="B417" s="4" t="s">
        <v>836</v>
      </c>
      <c r="C417" s="8" t="s">
        <v>23</v>
      </c>
      <c r="D417" s="25"/>
      <c r="E417" s="26">
        <v>185771</v>
      </c>
      <c r="F417" s="26">
        <v>119266</v>
      </c>
      <c r="G417" s="26">
        <v>313668</v>
      </c>
      <c r="H417" s="27">
        <f t="shared" si="6"/>
        <v>0.59225359297091196</v>
      </c>
      <c r="I417" s="27">
        <f t="shared" si="7"/>
        <v>0.3802300521570578</v>
      </c>
      <c r="J417" s="28"/>
      <c r="K417" s="26">
        <v>185116</v>
      </c>
      <c r="L417" s="26">
        <v>115000</v>
      </c>
      <c r="M417" s="26">
        <v>306003</v>
      </c>
      <c r="N417" s="27">
        <f t="shared" si="8"/>
        <v>0.60494831750015521</v>
      </c>
      <c r="O417" s="27">
        <f t="shared" si="9"/>
        <v>0.37581330901984622</v>
      </c>
    </row>
    <row r="418" spans="1:15" x14ac:dyDescent="0.2">
      <c r="A418" s="4" t="s">
        <v>837</v>
      </c>
      <c r="B418" s="4" t="s">
        <v>838</v>
      </c>
      <c r="C418" s="5" t="s">
        <v>8</v>
      </c>
      <c r="D418" s="25"/>
      <c r="E418" s="29">
        <v>145442</v>
      </c>
      <c r="F418" s="29">
        <v>150409</v>
      </c>
      <c r="G418" s="29">
        <v>303483</v>
      </c>
      <c r="H418" s="30">
        <f t="shared" si="6"/>
        <v>0.47924265939113558</v>
      </c>
      <c r="I418" s="30">
        <f t="shared" si="7"/>
        <v>0.49560930925290708</v>
      </c>
      <c r="J418" s="28"/>
      <c r="K418" s="29">
        <v>151296</v>
      </c>
      <c r="L418" s="29">
        <v>139890</v>
      </c>
      <c r="M418" s="29">
        <v>297159</v>
      </c>
      <c r="N418" s="30">
        <f t="shared" si="8"/>
        <v>0.50914157067428545</v>
      </c>
      <c r="O418" s="30">
        <f t="shared" si="9"/>
        <v>0.47075807900820771</v>
      </c>
    </row>
    <row r="419" spans="1:15" x14ac:dyDescent="0.2">
      <c r="A419" s="4" t="s">
        <v>839</v>
      </c>
      <c r="B419" s="4" t="s">
        <v>840</v>
      </c>
      <c r="C419" s="5" t="s">
        <v>8</v>
      </c>
      <c r="D419" s="25"/>
      <c r="E419" s="26">
        <v>90612</v>
      </c>
      <c r="F419" s="26">
        <v>142741</v>
      </c>
      <c r="G419" s="26">
        <v>238940</v>
      </c>
      <c r="H419" s="27">
        <f t="shared" si="6"/>
        <v>0.37922491001925168</v>
      </c>
      <c r="I419" s="27">
        <f t="shared" si="7"/>
        <v>0.59739265087469662</v>
      </c>
      <c r="J419" s="28"/>
      <c r="K419" s="26">
        <v>89933</v>
      </c>
      <c r="L419" s="26">
        <v>135281</v>
      </c>
      <c r="M419" s="26">
        <v>229537</v>
      </c>
      <c r="N419" s="27">
        <f t="shared" si="8"/>
        <v>0.39180175745086848</v>
      </c>
      <c r="O419" s="27">
        <f t="shared" si="9"/>
        <v>0.58936467759010525</v>
      </c>
    </row>
    <row r="420" spans="1:15" x14ac:dyDescent="0.2">
      <c r="A420" s="4" t="s">
        <v>841</v>
      </c>
      <c r="B420" s="4" t="s">
        <v>842</v>
      </c>
      <c r="C420" s="5" t="s">
        <v>8</v>
      </c>
      <c r="D420" s="25"/>
      <c r="E420" s="29">
        <v>137771</v>
      </c>
      <c r="F420" s="29">
        <v>168671</v>
      </c>
      <c r="G420" s="29">
        <v>315425</v>
      </c>
      <c r="H420" s="30">
        <f t="shared" si="6"/>
        <v>0.43677894903701353</v>
      </c>
      <c r="I420" s="30">
        <f t="shared" si="7"/>
        <v>0.53474201474201477</v>
      </c>
      <c r="J420" s="28"/>
      <c r="K420" s="29">
        <v>144112</v>
      </c>
      <c r="L420" s="29">
        <v>159511</v>
      </c>
      <c r="M420" s="29">
        <v>311361</v>
      </c>
      <c r="N420" s="30">
        <f t="shared" si="8"/>
        <v>0.46284537883678434</v>
      </c>
      <c r="O420" s="30">
        <f t="shared" si="9"/>
        <v>0.51230243993306801</v>
      </c>
    </row>
    <row r="421" spans="1:15" x14ac:dyDescent="0.2">
      <c r="A421" s="4" t="s">
        <v>843</v>
      </c>
      <c r="B421" s="4" t="s">
        <v>844</v>
      </c>
      <c r="C421" s="8" t="s">
        <v>23</v>
      </c>
      <c r="D421" s="25"/>
      <c r="E421" s="26">
        <v>184820</v>
      </c>
      <c r="F421" s="26">
        <v>135573</v>
      </c>
      <c r="G421" s="26">
        <v>329190</v>
      </c>
      <c r="H421" s="27">
        <f t="shared" si="6"/>
        <v>0.56143868282754639</v>
      </c>
      <c r="I421" s="27">
        <f t="shared" si="7"/>
        <v>0.41183814818190101</v>
      </c>
      <c r="J421" s="28"/>
      <c r="K421" s="26">
        <v>186336</v>
      </c>
      <c r="L421" s="26">
        <v>133689</v>
      </c>
      <c r="M421" s="26">
        <v>326650</v>
      </c>
      <c r="N421" s="27">
        <f t="shared" si="8"/>
        <v>0.57044543088933108</v>
      </c>
      <c r="O421" s="27">
        <f t="shared" si="9"/>
        <v>0.40927292208786165</v>
      </c>
    </row>
    <row r="422" spans="1:15" x14ac:dyDescent="0.2">
      <c r="A422" s="4" t="s">
        <v>845</v>
      </c>
      <c r="B422" s="4" t="s">
        <v>846</v>
      </c>
      <c r="C422" s="8" t="s">
        <v>23</v>
      </c>
      <c r="D422" s="25"/>
      <c r="E422" s="29">
        <v>310828</v>
      </c>
      <c r="F422" s="29">
        <v>70973</v>
      </c>
      <c r="G422" s="29">
        <v>392419</v>
      </c>
      <c r="H422" s="30">
        <f t="shared" si="6"/>
        <v>0.79208193283199846</v>
      </c>
      <c r="I422" s="30">
        <f t="shared" si="7"/>
        <v>0.18086025396323827</v>
      </c>
      <c r="J422" s="28"/>
      <c r="K422" s="29">
        <v>302597</v>
      </c>
      <c r="L422" s="29">
        <v>67921</v>
      </c>
      <c r="M422" s="29">
        <v>376324</v>
      </c>
      <c r="N422" s="30">
        <f t="shared" si="8"/>
        <v>0.80408637238124592</v>
      </c>
      <c r="O422" s="30">
        <f t="shared" si="9"/>
        <v>0.18048543276538301</v>
      </c>
    </row>
    <row r="423" spans="1:15" x14ac:dyDescent="0.2">
      <c r="A423" s="4" t="s">
        <v>847</v>
      </c>
      <c r="B423" s="4" t="s">
        <v>848</v>
      </c>
      <c r="C423" s="5" t="s">
        <v>8</v>
      </c>
      <c r="D423" s="25"/>
      <c r="E423" s="26">
        <v>155982</v>
      </c>
      <c r="F423" s="26">
        <v>151069</v>
      </c>
      <c r="G423" s="26">
        <v>313967</v>
      </c>
      <c r="H423" s="27">
        <f t="shared" si="6"/>
        <v>0.4968101743176831</v>
      </c>
      <c r="I423" s="27">
        <f t="shared" si="7"/>
        <v>0.48116203295250776</v>
      </c>
      <c r="J423" s="28"/>
      <c r="K423" s="26">
        <v>154691</v>
      </c>
      <c r="L423" s="26">
        <v>140555</v>
      </c>
      <c r="M423" s="26">
        <v>300545</v>
      </c>
      <c r="N423" s="27">
        <f t="shared" si="8"/>
        <v>0.51470162538055864</v>
      </c>
      <c r="O423" s="27">
        <f t="shared" si="9"/>
        <v>0.46766707148679898</v>
      </c>
    </row>
    <row r="424" spans="1:15" x14ac:dyDescent="0.2">
      <c r="A424" s="4" t="s">
        <v>849</v>
      </c>
      <c r="B424" s="4" t="s">
        <v>850</v>
      </c>
      <c r="C424" s="8" t="s">
        <v>23</v>
      </c>
      <c r="D424" s="25"/>
      <c r="E424" s="29">
        <v>195863</v>
      </c>
      <c r="F424" s="29">
        <v>84828</v>
      </c>
      <c r="G424" s="29">
        <v>286875</v>
      </c>
      <c r="H424" s="30">
        <f t="shared" si="6"/>
        <v>0.68274684095860572</v>
      </c>
      <c r="I424" s="30">
        <f t="shared" si="7"/>
        <v>0.29569673202614377</v>
      </c>
      <c r="J424" s="28"/>
      <c r="K424" s="29">
        <v>187240</v>
      </c>
      <c r="L424" s="29">
        <v>81733</v>
      </c>
      <c r="M424" s="29">
        <v>272928</v>
      </c>
      <c r="N424" s="30">
        <f t="shared" si="8"/>
        <v>0.68604173994606632</v>
      </c>
      <c r="O424" s="30">
        <f t="shared" si="9"/>
        <v>0.2994672587642162</v>
      </c>
    </row>
    <row r="425" spans="1:15" x14ac:dyDescent="0.2">
      <c r="A425" s="4" t="s">
        <v>851</v>
      </c>
      <c r="B425" s="4" t="s">
        <v>852</v>
      </c>
      <c r="C425" s="8" t="s">
        <v>23</v>
      </c>
      <c r="D425" s="25"/>
      <c r="E425" s="26">
        <v>164505</v>
      </c>
      <c r="F425" s="26">
        <v>120066</v>
      </c>
      <c r="G425" s="26">
        <v>292060</v>
      </c>
      <c r="H425" s="27">
        <f t="shared" si="6"/>
        <v>0.56325754981853049</v>
      </c>
      <c r="I425" s="27">
        <f t="shared" si="7"/>
        <v>0.41110045880983359</v>
      </c>
      <c r="J425" s="28"/>
      <c r="K425" s="26">
        <v>163623</v>
      </c>
      <c r="L425" s="26">
        <v>117330</v>
      </c>
      <c r="M425" s="26">
        <v>286226</v>
      </c>
      <c r="N425" s="27">
        <f t="shared" si="8"/>
        <v>0.57165666291671613</v>
      </c>
      <c r="O425" s="27">
        <f t="shared" si="9"/>
        <v>0.40992083179026362</v>
      </c>
    </row>
    <row r="426" spans="1:15" x14ac:dyDescent="0.2">
      <c r="A426" s="4" t="s">
        <v>853</v>
      </c>
      <c r="B426" s="4" t="s">
        <v>854</v>
      </c>
      <c r="C426" s="5" t="s">
        <v>8</v>
      </c>
      <c r="D426" s="25"/>
      <c r="E426" s="29">
        <v>179872</v>
      </c>
      <c r="F426" s="29">
        <v>195835</v>
      </c>
      <c r="G426" s="29">
        <v>379184</v>
      </c>
      <c r="H426" s="30">
        <f t="shared" si="6"/>
        <v>0.47436600700451498</v>
      </c>
      <c r="I426" s="30">
        <f t="shared" si="7"/>
        <v>0.51646430229123597</v>
      </c>
      <c r="J426" s="28"/>
      <c r="K426" s="29">
        <v>185716</v>
      </c>
      <c r="L426" s="29">
        <v>175988</v>
      </c>
      <c r="M426" s="29">
        <v>365858</v>
      </c>
      <c r="N426" s="30">
        <f t="shared" si="8"/>
        <v>0.50761770960317942</v>
      </c>
      <c r="O426" s="30">
        <f t="shared" si="9"/>
        <v>0.4810281584658529</v>
      </c>
    </row>
    <row r="427" spans="1:15" x14ac:dyDescent="0.2">
      <c r="A427" s="4" t="s">
        <v>855</v>
      </c>
      <c r="B427" s="4" t="s">
        <v>856</v>
      </c>
      <c r="C427" s="8" t="s">
        <v>23</v>
      </c>
      <c r="D427" s="25"/>
      <c r="E427" s="26">
        <v>284084</v>
      </c>
      <c r="F427" s="26">
        <v>126688</v>
      </c>
      <c r="G427" s="26">
        <v>415942</v>
      </c>
      <c r="H427" s="27">
        <f t="shared" si="6"/>
        <v>0.68298945526058918</v>
      </c>
      <c r="I427" s="27">
        <f t="shared" si="7"/>
        <v>0.30458092714849666</v>
      </c>
      <c r="J427" s="28"/>
      <c r="K427" s="26">
        <v>274466</v>
      </c>
      <c r="L427" s="26">
        <v>112024</v>
      </c>
      <c r="M427" s="26">
        <v>391306</v>
      </c>
      <c r="N427" s="27">
        <f t="shared" si="8"/>
        <v>0.70141014960159054</v>
      </c>
      <c r="O427" s="27">
        <f t="shared" si="9"/>
        <v>0.28628234680786901</v>
      </c>
    </row>
    <row r="428" spans="1:15" x14ac:dyDescent="0.2">
      <c r="A428" s="4" t="s">
        <v>857</v>
      </c>
      <c r="B428" s="4" t="s">
        <v>858</v>
      </c>
      <c r="C428" s="8" t="s">
        <v>23</v>
      </c>
      <c r="D428" s="25"/>
      <c r="E428" s="29">
        <v>199188</v>
      </c>
      <c r="F428" s="29">
        <v>159205</v>
      </c>
      <c r="G428" s="29">
        <v>363335</v>
      </c>
      <c r="H428" s="30">
        <f t="shared" si="6"/>
        <v>0.54822133843422738</v>
      </c>
      <c r="I428" s="30">
        <f t="shared" si="7"/>
        <v>0.438176889096839</v>
      </c>
      <c r="J428" s="28"/>
      <c r="K428" s="29">
        <v>216047</v>
      </c>
      <c r="L428" s="29">
        <v>142458</v>
      </c>
      <c r="M428" s="29">
        <v>363906</v>
      </c>
      <c r="N428" s="30">
        <f t="shared" si="8"/>
        <v>0.59368902958456304</v>
      </c>
      <c r="O428" s="30">
        <f t="shared" si="9"/>
        <v>0.39146922556924041</v>
      </c>
    </row>
    <row r="429" spans="1:15" x14ac:dyDescent="0.2">
      <c r="A429" s="4" t="s">
        <v>859</v>
      </c>
      <c r="B429" s="4" t="s">
        <v>860</v>
      </c>
      <c r="C429" s="8" t="s">
        <v>23</v>
      </c>
      <c r="D429" s="25"/>
      <c r="E429" s="26">
        <v>268440</v>
      </c>
      <c r="F429" s="26">
        <v>84751</v>
      </c>
      <c r="G429" s="26">
        <v>356355</v>
      </c>
      <c r="H429" s="27">
        <f t="shared" si="6"/>
        <v>0.75329376604790166</v>
      </c>
      <c r="I429" s="27">
        <f t="shared" si="7"/>
        <v>0.23782744734885156</v>
      </c>
      <c r="J429" s="28"/>
      <c r="K429" s="26">
        <v>254531</v>
      </c>
      <c r="L429" s="26">
        <v>84194</v>
      </c>
      <c r="M429" s="26">
        <v>342054</v>
      </c>
      <c r="N429" s="27">
        <f t="shared" si="8"/>
        <v>0.74412519660638377</v>
      </c>
      <c r="O429" s="27">
        <f t="shared" si="9"/>
        <v>0.24614242195676705</v>
      </c>
    </row>
    <row r="430" spans="1:15" x14ac:dyDescent="0.2">
      <c r="A430" s="4" t="s">
        <v>861</v>
      </c>
      <c r="B430" s="4" t="s">
        <v>862</v>
      </c>
      <c r="C430" s="5" t="s">
        <v>8</v>
      </c>
      <c r="D430" s="25"/>
      <c r="E430" s="29">
        <v>158226</v>
      </c>
      <c r="F430" s="29">
        <v>257017</v>
      </c>
      <c r="G430" s="29">
        <v>419191</v>
      </c>
      <c r="H430" s="30">
        <f t="shared" si="6"/>
        <v>0.3774556228544983</v>
      </c>
      <c r="I430" s="30">
        <f t="shared" si="7"/>
        <v>0.61312623601174643</v>
      </c>
      <c r="J430" s="28"/>
      <c r="K430" s="29">
        <v>168644</v>
      </c>
      <c r="L430" s="29">
        <v>230861</v>
      </c>
      <c r="M430" s="29">
        <v>403822</v>
      </c>
      <c r="N430" s="30">
        <f t="shared" si="8"/>
        <v>0.41761964429872567</v>
      </c>
      <c r="O430" s="30">
        <f t="shared" si="9"/>
        <v>0.57169000203059761</v>
      </c>
    </row>
    <row r="431" spans="1:15" x14ac:dyDescent="0.2">
      <c r="A431" s="4" t="s">
        <v>863</v>
      </c>
      <c r="B431" s="4" t="s">
        <v>864</v>
      </c>
      <c r="C431" s="5" t="s">
        <v>8</v>
      </c>
      <c r="D431" s="25"/>
      <c r="E431" s="26">
        <v>174988</v>
      </c>
      <c r="F431" s="26">
        <v>202979</v>
      </c>
      <c r="G431" s="26">
        <v>382295</v>
      </c>
      <c r="H431" s="27">
        <f t="shared" si="6"/>
        <v>0.45773028682038741</v>
      </c>
      <c r="I431" s="27">
        <f t="shared" si="7"/>
        <v>0.53094861298212115</v>
      </c>
      <c r="J431" s="28"/>
      <c r="K431" s="26">
        <v>185438</v>
      </c>
      <c r="L431" s="26">
        <v>184985</v>
      </c>
      <c r="M431" s="26">
        <v>375245</v>
      </c>
      <c r="N431" s="27">
        <f t="shared" si="8"/>
        <v>0.4941784700662234</v>
      </c>
      <c r="O431" s="27">
        <f t="shared" si="9"/>
        <v>0.49297125877759862</v>
      </c>
    </row>
    <row r="432" spans="1:15" x14ac:dyDescent="0.2">
      <c r="A432" s="4" t="s">
        <v>865</v>
      </c>
      <c r="B432" s="4" t="s">
        <v>866</v>
      </c>
      <c r="C432" s="5" t="s">
        <v>8</v>
      </c>
      <c r="D432" s="25"/>
      <c r="E432" s="29">
        <v>178841</v>
      </c>
      <c r="F432" s="29">
        <v>190364</v>
      </c>
      <c r="G432" s="29">
        <v>373876</v>
      </c>
      <c r="H432" s="30">
        <f t="shared" si="6"/>
        <v>0.47834308701280637</v>
      </c>
      <c r="I432" s="30">
        <f t="shared" si="7"/>
        <v>0.5091634659619767</v>
      </c>
      <c r="J432" s="28"/>
      <c r="K432" s="29">
        <v>197706</v>
      </c>
      <c r="L432" s="29">
        <v>168540</v>
      </c>
      <c r="M432" s="29">
        <v>371936</v>
      </c>
      <c r="N432" s="30">
        <f t="shared" si="8"/>
        <v>0.53155919297943732</v>
      </c>
      <c r="O432" s="30">
        <f t="shared" si="9"/>
        <v>0.4531424761249247</v>
      </c>
    </row>
    <row r="433" spans="1:15" x14ac:dyDescent="0.2">
      <c r="A433" s="4" t="s">
        <v>867</v>
      </c>
      <c r="B433" s="4" t="s">
        <v>868</v>
      </c>
      <c r="C433" s="5" t="s">
        <v>8</v>
      </c>
      <c r="D433" s="25"/>
      <c r="E433" s="26">
        <v>177346</v>
      </c>
      <c r="F433" s="26">
        <v>191127</v>
      </c>
      <c r="G433" s="26">
        <v>372886</v>
      </c>
      <c r="H433" s="27">
        <f t="shared" si="6"/>
        <v>0.47560380384353396</v>
      </c>
      <c r="I433" s="27">
        <f t="shared" si="7"/>
        <v>0.51256147991611378</v>
      </c>
      <c r="J433" s="28"/>
      <c r="K433" s="26">
        <v>194663</v>
      </c>
      <c r="L433" s="26">
        <v>163343</v>
      </c>
      <c r="M433" s="26">
        <v>362769</v>
      </c>
      <c r="N433" s="27">
        <f t="shared" si="8"/>
        <v>0.53660318274163443</v>
      </c>
      <c r="O433" s="27">
        <f t="shared" si="9"/>
        <v>0.45026724995796225</v>
      </c>
    </row>
    <row r="434" spans="1:15" x14ac:dyDescent="0.2">
      <c r="A434" s="4" t="s">
        <v>869</v>
      </c>
      <c r="B434" s="4" t="s">
        <v>870</v>
      </c>
      <c r="C434" s="5" t="s">
        <v>8</v>
      </c>
      <c r="D434" s="25"/>
      <c r="E434" s="29">
        <v>81017</v>
      </c>
      <c r="F434" s="29">
        <v>141736</v>
      </c>
      <c r="G434" s="29">
        <v>227948</v>
      </c>
      <c r="H434" s="30">
        <f t="shared" si="6"/>
        <v>0.35541877972169089</v>
      </c>
      <c r="I434" s="30">
        <f t="shared" si="7"/>
        <v>0.62179093477459768</v>
      </c>
      <c r="J434" s="28"/>
      <c r="K434" s="29">
        <v>102826</v>
      </c>
      <c r="L434" s="29">
        <v>140421</v>
      </c>
      <c r="M434" s="29">
        <v>247507</v>
      </c>
      <c r="N434" s="30">
        <f t="shared" si="8"/>
        <v>0.41544683584706693</v>
      </c>
      <c r="O434" s="30">
        <f t="shared" si="9"/>
        <v>0.56734152973451257</v>
      </c>
    </row>
    <row r="435" spans="1:15" x14ac:dyDescent="0.2">
      <c r="A435" s="4" t="s">
        <v>871</v>
      </c>
      <c r="B435" s="4" t="s">
        <v>872</v>
      </c>
      <c r="C435" s="5" t="s">
        <v>8</v>
      </c>
      <c r="D435" s="25"/>
      <c r="E435" s="26">
        <v>89079</v>
      </c>
      <c r="F435" s="26">
        <v>140783</v>
      </c>
      <c r="G435" s="26">
        <v>234596</v>
      </c>
      <c r="H435" s="27">
        <f t="shared" si="6"/>
        <v>0.37971235656191921</v>
      </c>
      <c r="I435" s="27">
        <f t="shared" si="7"/>
        <v>0.60010827124077137</v>
      </c>
      <c r="J435" s="28"/>
      <c r="K435" s="26">
        <v>109369</v>
      </c>
      <c r="L435" s="26">
        <v>136259</v>
      </c>
      <c r="M435" s="26">
        <v>249130</v>
      </c>
      <c r="N435" s="27">
        <f t="shared" si="8"/>
        <v>0.43900373299080803</v>
      </c>
      <c r="O435" s="27">
        <f t="shared" si="9"/>
        <v>0.5469393489342913</v>
      </c>
    </row>
    <row r="436" spans="1:15" x14ac:dyDescent="0.2">
      <c r="A436" s="4" t="s">
        <v>873</v>
      </c>
      <c r="B436" s="4" t="s">
        <v>874</v>
      </c>
      <c r="C436" s="5" t="s">
        <v>8</v>
      </c>
      <c r="D436" s="25"/>
      <c r="E436" s="29">
        <v>68173</v>
      </c>
      <c r="F436" s="29">
        <v>135136</v>
      </c>
      <c r="G436" s="29">
        <v>207894</v>
      </c>
      <c r="H436" s="30">
        <f t="shared" si="6"/>
        <v>0.32792192174858342</v>
      </c>
      <c r="I436" s="30">
        <f t="shared" si="7"/>
        <v>0.65002356970379138</v>
      </c>
      <c r="J436" s="28"/>
      <c r="K436" s="29">
        <v>91662</v>
      </c>
      <c r="L436" s="29">
        <v>120786</v>
      </c>
      <c r="M436" s="29">
        <v>216725</v>
      </c>
      <c r="N436" s="30">
        <f t="shared" si="8"/>
        <v>0.42294151574576078</v>
      </c>
      <c r="O436" s="30">
        <f t="shared" si="9"/>
        <v>0.55732379743915095</v>
      </c>
    </row>
    <row r="437" spans="1:15" x14ac:dyDescent="0.2">
      <c r="A437" s="4" t="s">
        <v>875</v>
      </c>
      <c r="B437" s="4" t="s">
        <v>876</v>
      </c>
      <c r="C437" s="5" t="s">
        <v>8</v>
      </c>
      <c r="D437" s="25"/>
      <c r="E437" s="26">
        <v>69286</v>
      </c>
      <c r="F437" s="26">
        <v>170962</v>
      </c>
      <c r="G437" s="26">
        <v>247026</v>
      </c>
      <c r="H437" s="27">
        <f t="shared" si="6"/>
        <v>0.28048059718410207</v>
      </c>
      <c r="I437" s="27">
        <f t="shared" si="7"/>
        <v>0.6920809955227385</v>
      </c>
      <c r="J437" s="28"/>
      <c r="K437" s="26">
        <v>82868</v>
      </c>
      <c r="L437" s="26">
        <v>164958</v>
      </c>
      <c r="M437" s="26">
        <v>253137</v>
      </c>
      <c r="N437" s="27">
        <f t="shared" si="8"/>
        <v>0.32736423359682704</v>
      </c>
      <c r="O437" s="27">
        <f t="shared" si="9"/>
        <v>0.651655032650304</v>
      </c>
    </row>
  </sheetData>
  <mergeCells count="3">
    <mergeCell ref="A1:C1"/>
    <mergeCell ref="E1:I1"/>
    <mergeCell ref="K1:O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"/>
  <sheetViews>
    <sheetView workbookViewId="0"/>
  </sheetViews>
  <sheetFormatPr defaultColWidth="12.5703125" defaultRowHeight="12.75" customHeight="1" x14ac:dyDescent="0.2"/>
  <cols>
    <col min="1" max="1" width="7.7109375" customWidth="1"/>
    <col min="2" max="2" width="22.7109375" customWidth="1"/>
    <col min="3" max="3" width="5.42578125" customWidth="1"/>
    <col min="4" max="4" width="7.140625" customWidth="1"/>
    <col min="5" max="5" width="8.5703125" customWidth="1"/>
    <col min="6" max="7" width="7.140625" customWidth="1"/>
  </cols>
  <sheetData>
    <row r="1" spans="1:7" ht="12" customHeight="1" x14ac:dyDescent="0.2">
      <c r="A1" s="34" t="s">
        <v>0</v>
      </c>
      <c r="B1" s="34" t="s">
        <v>1</v>
      </c>
      <c r="C1" s="34" t="s">
        <v>2</v>
      </c>
      <c r="D1" s="35" t="s">
        <v>881</v>
      </c>
      <c r="E1" s="35" t="s">
        <v>882</v>
      </c>
      <c r="F1" s="35" t="s">
        <v>883</v>
      </c>
      <c r="G1" s="35" t="s">
        <v>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5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2.75" customHeight="1" x14ac:dyDescent="0.2"/>
  <cols>
    <col min="1" max="1" width="5.7109375" customWidth="1"/>
    <col min="2" max="3" width="7.140625" customWidth="1"/>
  </cols>
  <sheetData>
    <row r="1" spans="1:3" ht="12" customHeight="1" x14ac:dyDescent="0.2">
      <c r="A1" s="36" t="s">
        <v>885</v>
      </c>
      <c r="B1" s="88" t="s">
        <v>886</v>
      </c>
      <c r="C1" s="83"/>
    </row>
    <row r="2" spans="1:3" ht="12" customHeight="1" x14ac:dyDescent="0.2">
      <c r="A2" s="4" t="s">
        <v>887</v>
      </c>
      <c r="B2" s="89" t="s">
        <v>888</v>
      </c>
      <c r="C2" s="83"/>
    </row>
    <row r="3" spans="1:3" ht="12" customHeight="1" x14ac:dyDescent="0.2">
      <c r="A3" s="4" t="s">
        <v>889</v>
      </c>
      <c r="B3" s="37">
        <f>HYPERLINK("https://docs.google.com/spreadsheet/ccc?key=0Av8O-dN2giY6dE84dVBhZUJzdHdwcGNaRlg2SjNqZUE#gid=0",2012)</f>
        <v>2012</v>
      </c>
      <c r="C3" s="38">
        <f>HYPERLINK("https://docs.google.com/spreadsheet/ccc?key=0Av8O-dN2giY6dEcwN3pQMEt5Y3J2VTFpeE41UnJkUXc#gid=0",2008)</f>
        <v>2008</v>
      </c>
    </row>
    <row r="4" spans="1:3" ht="12" customHeight="1" x14ac:dyDescent="0.2">
      <c r="A4" s="4" t="s">
        <v>890</v>
      </c>
      <c r="B4" s="38">
        <f>HYPERLINK("https://docs.google.com/spreadsheet/ccc?key=0Av8O-dN2giY6dEVCOENWWmR1RmVxRHczdDQ1SkttaGc#gid=0",2012)</f>
        <v>2012</v>
      </c>
      <c r="C4" s="38">
        <f>HYPERLINK("https://docs.google.com/spreadsheet/ccc?key=0Av8O-dN2giY6dGdaUWFISUVKUDloY2VYWFB5ekhzcUE#gid=0", 2008)</f>
        <v>2008</v>
      </c>
    </row>
    <row r="5" spans="1:3" ht="12" customHeight="1" x14ac:dyDescent="0.2">
      <c r="A5" s="4" t="s">
        <v>891</v>
      </c>
      <c r="B5" s="38">
        <f>HYPERLINK("https://docs.google.com/spreadsheet/ccc?key=0Av8O-dN2giY6dElFVTFKbGJ3MVhLUjFlRWZtUXFOb3c#gid=0",2012)</f>
        <v>2012</v>
      </c>
      <c r="C5" s="38">
        <f>HYPERLINK("https://docs.google.com/spreadsheet/ccc?key=0Av8O-dN2giY6dFNkNV8zdG4zXzZGQ0piUnc2eGRXUnc#gid=0",2008)</f>
        <v>2008</v>
      </c>
    </row>
    <row r="6" spans="1:3" ht="12" customHeight="1" x14ac:dyDescent="0.2">
      <c r="A6" s="4" t="s">
        <v>892</v>
      </c>
      <c r="B6" s="37">
        <f>HYPERLINK("https://docs.google.com/spreadsheet/ccc?key=0Av8O-dN2giY6dHM1MnBkMHVXbDNXclJIelF5QklZdXc#gid=0",2012)</f>
        <v>2012</v>
      </c>
      <c r="C6" s="38"/>
    </row>
    <row r="7" spans="1:3" ht="12" customHeight="1" x14ac:dyDescent="0.2">
      <c r="A7" s="4" t="s">
        <v>893</v>
      </c>
      <c r="B7" s="38" t="str">
        <f>HYPERLINK("https://docs.google.com/spreadsheet/ccc?key=0Av8O-dN2giY6dFNJejAzdFp3Y0hqMmVucWVTbWlLLVE#gid=0","2012")</f>
        <v>2012</v>
      </c>
      <c r="C7" s="38">
        <f>HYPERLINK("https://docs.google.com/spreadsheet/ccc?key=0Av8O-dN2giY6dHJ0S0JaNE01RW5KblpnR2s5TkxHZnc#gid=1",2008)</f>
        <v>2008</v>
      </c>
    </row>
    <row r="8" spans="1:3" ht="12" customHeight="1" x14ac:dyDescent="0.2">
      <c r="A8" s="4" t="s">
        <v>894</v>
      </c>
      <c r="B8" s="38"/>
      <c r="C8" s="38" t="str">
        <f>HYPERLINK("https://docs.google.com/spreadsheet/ccc?key=0Av8O-dN2giY6dHVobHp2eHVzSThkbzdyOWZGcGZTOUE&amp;usp=drive_web","2008")</f>
        <v>2008</v>
      </c>
    </row>
    <row r="9" spans="1:3" ht="12" customHeight="1" x14ac:dyDescent="0.2">
      <c r="A9" s="4" t="s">
        <v>895</v>
      </c>
      <c r="B9" s="89" t="s">
        <v>888</v>
      </c>
      <c r="C9" s="83"/>
    </row>
    <row r="10" spans="1:3" ht="12" customHeight="1" x14ac:dyDescent="0.2">
      <c r="A10" s="4" t="s">
        <v>896</v>
      </c>
      <c r="B10" s="37">
        <f>HYPERLINK("https://docs.google.com/spreadsheet/ccc?key=0Av8O-dN2giY6dFUwY0hSN21pUWtabTZoSjhOUzlleEE#gid=0",2012)</f>
        <v>2012</v>
      </c>
      <c r="C10" s="38"/>
    </row>
    <row r="11" spans="1:3" ht="12" customHeight="1" x14ac:dyDescent="0.2">
      <c r="A11" s="4" t="s">
        <v>897</v>
      </c>
      <c r="B11" s="38" t="str">
        <f>HYPERLINK("https://docs.google.com/spreadsheet/ccc?key=0Av8O-dN2giY6dEU4Y0k1cEhObkQzckN2UWJ1TFlmZHc","2012")</f>
        <v>2012</v>
      </c>
      <c r="C11" s="38" t="str">
        <f>HYPERLINK("https://docs.google.com/spreadsheet/ccc?key=0Av8O-dN2giY6dERDTzdKX2NKTGhGWU9IY3RDOF9GdVE#gid=0","2008")</f>
        <v>2008</v>
      </c>
    </row>
    <row r="12" spans="1:3" ht="12" customHeight="1" x14ac:dyDescent="0.2">
      <c r="A12" s="4" t="s">
        <v>898</v>
      </c>
      <c r="B12" s="38">
        <f>HYPERLINK("https://docs.google.com/spreadsheet/ccc?key=0Av8O-dN2giY6dFVydVFxcFFieVdfRmFYWjJKRUhyT2c#gid=0",2012)</f>
        <v>2012</v>
      </c>
      <c r="C12" s="38">
        <f>HYPERLINK("https://docs.google.com/spreadsheet/ccc?key=0Av8O-dN2giY6dDBIekVVbnhJZnJna201T0JOVGlnSUE#gid=0",2008)</f>
        <v>2008</v>
      </c>
    </row>
    <row r="13" spans="1:3" ht="12" customHeight="1" x14ac:dyDescent="0.2">
      <c r="A13" s="4" t="s">
        <v>899</v>
      </c>
      <c r="B13" s="38">
        <f>HYPERLINK("https://docs.google.com/spreadsheet/ccc?key=0Av8O-dN2giY6dENDbkZOYjFyYW1GQlZudFZvUHM0SUE#gid=0",2012)</f>
        <v>2012</v>
      </c>
      <c r="C13" s="38">
        <f>HYPERLINK("https://docs.google.com/spreadsheet/ccc?key=0Av8O-dN2giY6dEFBRFZIRFZpTDJMT1BhOWZkRHZOTGc",2008)</f>
        <v>2008</v>
      </c>
    </row>
    <row r="14" spans="1:3" ht="12" customHeight="1" x14ac:dyDescent="0.2">
      <c r="A14" s="4" t="s">
        <v>900</v>
      </c>
      <c r="B14" s="38">
        <f>HYPERLINK("https://docs.google.com/spreadsheet/ccc?key=0Av8O-dN2giY6dE1uNlFGTEllX0Y3a3kxT2lMUXVicGc#gid=0",2012)</f>
        <v>2012</v>
      </c>
      <c r="C14" s="38">
        <f>HYPERLINK("https://docs.google.com/spreadsheet/ccc?key=0Av8O-dN2giY6dDhvVjg1aURybU1JNmdxc1gyZjlKVmc#gid=0",2008)</f>
        <v>2008</v>
      </c>
    </row>
    <row r="15" spans="1:3" ht="12" customHeight="1" x14ac:dyDescent="0.2">
      <c r="A15" s="4" t="s">
        <v>901</v>
      </c>
      <c r="B15" s="37">
        <f>HYPERLINK("https://docs.google.com/spreadsheet/ccc?key=0Av8O-dN2giY6dFlkZWdQMEV5S0lXWHpyQzI1YVU5dnc#gid=0",2012)</f>
        <v>2012</v>
      </c>
      <c r="C15" s="38">
        <f>HYPERLINK("https://docs.google.com/spreadsheet/ccc?key=0Av8O-dN2giY6dENxMmFSYmgyNGRYcFEzTVBURTdjdnc#gid=0",2008)</f>
        <v>2008</v>
      </c>
    </row>
    <row r="16" spans="1:3" ht="12" customHeight="1" x14ac:dyDescent="0.2">
      <c r="A16" s="4" t="s">
        <v>902</v>
      </c>
      <c r="B16" s="37">
        <f>HYPERLINK("https://docs.google.com/spreadsheet/ccc?key=0Av8O-dN2giY6dExRcXgxVW9vSzltRDAyeEN3UUNaMHc#gid=0",2012)</f>
        <v>2012</v>
      </c>
      <c r="C16" s="38">
        <f>HYPERLINK("https://docs.google.com/spreadsheet/ccc?key=0Av8O-dN2giY6dEMwZFB5MmhTLWR0Unk3UlZ3N0lJa0E#gid=0",2008)</f>
        <v>2008</v>
      </c>
    </row>
    <row r="17" spans="1:3" ht="12" customHeight="1" x14ac:dyDescent="0.2">
      <c r="A17" s="4" t="s">
        <v>903</v>
      </c>
      <c r="B17" s="38">
        <f>HYPERLINK("https://docs.google.com/spreadsheet/ccc?key=0Av8O-dN2giY6dHBXWWE0czZSQlNmQm8wTW5vak9XYWc#gid=0",2012)</f>
        <v>2012</v>
      </c>
      <c r="C17" s="38">
        <f>HYPERLINK("https://docs.google.com/spreadsheet/ccc?key=0Av8O-dN2giY6dE9Hck42MnZfNUlucmZWSnFKcmpFV0E#gid=0",2008)</f>
        <v>2008</v>
      </c>
    </row>
    <row r="18" spans="1:3" ht="12" customHeight="1" x14ac:dyDescent="0.2">
      <c r="A18" s="4" t="s">
        <v>904</v>
      </c>
      <c r="B18" s="38">
        <f>HYPERLINK("https://docs.google.com/spreadsheet/ccc?key=0Av8O-dN2giY6dGNfc21tUWZ4RENyLTNuT2NwTkNvUnc#gid=0",2012)</f>
        <v>2012</v>
      </c>
      <c r="C18" s="38">
        <f>HYPERLINK("https://docs.google.com/spreadsheet/ccc?key=0Av8O-dN2giY6dHFsTjR4dWc2b2EwZEJvMUdSdk50UkE#gid=0",2008)</f>
        <v>2008</v>
      </c>
    </row>
    <row r="19" spans="1:3" ht="12" customHeight="1" x14ac:dyDescent="0.2">
      <c r="A19" s="4" t="s">
        <v>905</v>
      </c>
      <c r="B19" s="38">
        <f>HYPERLINK("https://docs.google.com/spreadsheet/ccc?key=0Av8O-dN2giY6dFJlVHpZeE5odGVQQVcyZFBYOUlfb1E#gid=0", 2012)</f>
        <v>2012</v>
      </c>
      <c r="C19" s="38">
        <f>HYPERLINK("https://docs.google.com/spreadsheet/ccc?key=0Av8O-dN2giY6dGJaNlF4Mk9pbXFwRGFwZ0NmaEhhbGc#gid=0",2008)</f>
        <v>2008</v>
      </c>
    </row>
    <row r="20" spans="1:3" ht="12" customHeight="1" x14ac:dyDescent="0.2">
      <c r="A20" s="4" t="s">
        <v>906</v>
      </c>
      <c r="B20" s="37">
        <f>HYPERLINK("https://docs.google.com/spreadsheet/ccc?key=0Av8O-dN2giY6dDJ0OTNXX3A4VzFQTm80ZlM1RFJSQ2c#gid=0",2012)</f>
        <v>2012</v>
      </c>
      <c r="C20" s="38">
        <f>HYPERLINK("https://docs.google.com/spreadsheet/ccc?key=0Av8O-dN2giY6dHE0YmdRY3pucURyR3VCNWhEZ0hWb1E#gid=0",2008)</f>
        <v>2008</v>
      </c>
    </row>
    <row r="21" spans="1:3" ht="12" customHeight="1" x14ac:dyDescent="0.2">
      <c r="A21" s="4" t="s">
        <v>907</v>
      </c>
      <c r="B21" s="38">
        <f>HYPERLINK("https://docs.google.com/spreadsheet/ccc?key=0Av8O-dN2giY6dG43b2l5N0hoUUlFZkNGQk1IWTFpelE#gid=0",2012)</f>
        <v>2012</v>
      </c>
      <c r="C21" s="38">
        <f>HYPERLINK("https://docs.google.com/spreadsheet/ccc?key=0Av8O-dN2giY6dDMxVFhhS0x0Sks5eFBlYXItRVBCcXc#gid=0",2008)</f>
        <v>2008</v>
      </c>
    </row>
    <row r="22" spans="1:3" ht="12" customHeight="1" x14ac:dyDescent="0.2">
      <c r="A22" s="4" t="s">
        <v>908</v>
      </c>
      <c r="B22" s="38"/>
      <c r="C22" s="38"/>
    </row>
    <row r="23" spans="1:3" ht="12" customHeight="1" x14ac:dyDescent="0.2">
      <c r="A23" s="4" t="s">
        <v>909</v>
      </c>
      <c r="B23" s="37">
        <f>HYPERLINK("https://docs.google.com/spreadsheet/ccc?key=0Av8O-dN2giY6dGFJdFEweDZwczRJZFVKMHpQYTN3OEE#gid=0",2012)</f>
        <v>2012</v>
      </c>
      <c r="C23" s="38">
        <f>HYPERLINK("https://docs.google.com/spreadsheet/ccc?key=0Av8O-dN2giY6dDVCUUZLR3c1VF9GZW9PTGozQ3N1NkE#gid=0",2008)</f>
        <v>2008</v>
      </c>
    </row>
    <row r="24" spans="1:3" ht="12" customHeight="1" x14ac:dyDescent="0.2">
      <c r="A24" s="4" t="s">
        <v>910</v>
      </c>
      <c r="B24" s="38">
        <f>HYPERLINK("https://docs.google.com/spreadsheet/ccc?key=0Av8O-dN2giY6dGlwTTF6d1VSMUE0X21DckpqMHlxemc#gid=0",2012)</f>
        <v>2012</v>
      </c>
      <c r="C24" s="38">
        <f>HYPERLINK("https://docs.google.com/spreadsheet/ccc?key=0Av8O-dN2giY6dFlJWjVCN1dTd21zbUE4cTBLeEZoV0E#gid=0",2008)</f>
        <v>2008</v>
      </c>
    </row>
    <row r="25" spans="1:3" ht="12" customHeight="1" x14ac:dyDescent="0.2">
      <c r="A25" s="4" t="s">
        <v>911</v>
      </c>
      <c r="B25" s="37">
        <f>HYPERLINK("https://docs.google.com/spreadsheet/ccc?key=0Av8O-dN2giY6dGlyZXZsZFRzcWlCNE5TMVR0eXNqU0E#gid=0",2012)</f>
        <v>2012</v>
      </c>
      <c r="C25" s="38">
        <f>HYPERLINK("https://docs.google.com/spreadsheet/ccc?key=0Av8O-dN2giY6dERsREI4WndFV1hxdVJReXB5bXc5UWc#gid=0",2008)</f>
        <v>2008</v>
      </c>
    </row>
    <row r="26" spans="1:3" ht="12" customHeight="1" x14ac:dyDescent="0.2">
      <c r="A26" s="4" t="s">
        <v>912</v>
      </c>
      <c r="B26" s="38">
        <f>HYPERLINK("https://docs.google.com/spreadsheet/ccc?key=0Av8O-dN2giY6dEQ0eXN1LXB2eDR1YWJHM2tGMDZYQXc#gid=0",2012)</f>
        <v>2012</v>
      </c>
      <c r="C26" s="38">
        <f>HYPERLINK("https://docs.google.com/spreadsheet/ccc?key=0Av8O-dN2giY6dEVuVHdfNE1nWnh1RVk2WHZwYklQNkE#gid=0",2008)</f>
        <v>2008</v>
      </c>
    </row>
    <row r="27" spans="1:3" ht="12" customHeight="1" x14ac:dyDescent="0.2">
      <c r="A27" s="4" t="s">
        <v>913</v>
      </c>
      <c r="B27" s="89" t="s">
        <v>888</v>
      </c>
      <c r="C27" s="83"/>
    </row>
    <row r="28" spans="1:3" ht="12" customHeight="1" x14ac:dyDescent="0.2">
      <c r="A28" s="4" t="s">
        <v>914</v>
      </c>
      <c r="B28" s="37">
        <f>HYPERLINK("https://docs.google.com/spreadsheet/ccc?key=0Av8O-dN2giY6dDkyODlueXZNUTU0UHd4cWNHWkZJV0E#gid=0",2012)</f>
        <v>2012</v>
      </c>
      <c r="C28" s="38" t="str">
        <f>HYPERLINK("https://docs.google.com/spreadsheet/ccc?key=0At9k6QrlThx6dHVaek5TX01iYU5oY1NvekRBVlNxYXc&amp;usp=drive_web","2008")</f>
        <v>2008</v>
      </c>
    </row>
    <row r="29" spans="1:3" ht="12" customHeight="1" x14ac:dyDescent="0.2">
      <c r="A29" s="4" t="s">
        <v>915</v>
      </c>
      <c r="B29" s="89" t="s">
        <v>888</v>
      </c>
      <c r="C29" s="83"/>
    </row>
    <row r="30" spans="1:3" ht="12" customHeight="1" x14ac:dyDescent="0.2">
      <c r="A30" s="4" t="s">
        <v>916</v>
      </c>
      <c r="B30" s="38"/>
      <c r="C30" s="38" t="str">
        <f>HYPERLINK("https://docs.google.com/spreadsheet/ccc?key=0Av8O-dN2giY6dEZjR2p4VElRZmljdGlDbkpXLTBRQmc&amp;usp=drive_web","2008")</f>
        <v>2008</v>
      </c>
    </row>
    <row r="31" spans="1:3" ht="12" customHeight="1" x14ac:dyDescent="0.2">
      <c r="A31" s="4" t="s">
        <v>917</v>
      </c>
      <c r="B31" s="38">
        <f>HYPERLINK("https://docs.google.com/spreadsheet/ccc?key=0Av8O-dN2giY6dEswUFhnUkR0YnVDaWtCSGtrOURtY1E#gid=0",2012)</f>
        <v>2012</v>
      </c>
      <c r="C31" s="38">
        <f>HYPERLINK("https://docs.google.com/spreadsheet/ccc?key=0Av8O-dN2giY6dGxscWp4SFQ4QUhaU3VTWUZzZ0ZtcXc#gid=0",2008)</f>
        <v>2008</v>
      </c>
    </row>
    <row r="32" spans="1:3" ht="12" customHeight="1" x14ac:dyDescent="0.2">
      <c r="A32" s="4" t="s">
        <v>918</v>
      </c>
      <c r="B32" s="37">
        <f>HYPERLINK("https://docs.google.com/spreadsheet/ccc?key=0Av8O-dN2giY6dFNGTXo5MWZJdVRENkVQQko5OEZRVWc",2012)</f>
        <v>2012</v>
      </c>
      <c r="C32" s="38">
        <f>HYPERLINK("https://docs.google.com/spreadsheet/ccc?key=0Av8O-dN2giY6dGtYTV8xS2hHcXJnX0pOZkdCU2V1N2c",2008)</f>
        <v>2008</v>
      </c>
    </row>
    <row r="33" spans="1:3" ht="12" customHeight="1" x14ac:dyDescent="0.2">
      <c r="A33" s="4" t="s">
        <v>919</v>
      </c>
      <c r="B33" s="38">
        <f>HYPERLINK("https://docs.google.com/spreadsheet/ccc?key=0Av8O-dN2giY6dHhyeTFsV2tfYTA5dGpaUUJORXE4dUE#gid=0",2012)</f>
        <v>2012</v>
      </c>
      <c r="C33" s="38">
        <f>HYPERLINK("https://docs.google.com/spreadsheet/ccc?key=0Av8O-dN2giY6dG1WaEx0VDdCNDNLbnE2UUpzZ0tydEE#gid=0",2008)</f>
        <v>2008</v>
      </c>
    </row>
    <row r="34" spans="1:3" ht="12" customHeight="1" x14ac:dyDescent="0.2">
      <c r="A34" s="4" t="s">
        <v>920</v>
      </c>
      <c r="B34" s="38">
        <f>HYPERLINK("https://docs.google.com/spreadsheet/ccc?key=0Av8O-dN2giY6dGpDWFJmeEFLRG8zWE1CejVUeU9NSnc#gid=0",2012)</f>
        <v>2012</v>
      </c>
      <c r="C34" s="38">
        <f>HYPERLINK("https://docs.google.com/spreadsheet/ccc?key=0Av8O-dN2giY6dDBOMTBPVzZ6aHY2U29OaG04RDVLSWc#gid=0",2008)</f>
        <v>2008</v>
      </c>
    </row>
    <row r="35" spans="1:3" ht="12" customHeight="1" x14ac:dyDescent="0.2">
      <c r="A35" s="4" t="s">
        <v>921</v>
      </c>
      <c r="B35" s="37">
        <f>HYPERLINK("https://docs.google.com/spreadsheet/ccc?key=0Av8O-dN2giY6dFNKeFpKeVpaa3R3ekFqV2JUZ0VXaVE#gid=0",2012)</f>
        <v>2012</v>
      </c>
      <c r="C35" s="38" t="str">
        <f>HYPERLINK("https://docs.google.com/spreadsheet/ccc?key=0Av8O-dN2giY6dGlFemVqU2ZRZXB3ZUhha200Mk1aVkE&amp;usp=drive_web","2008")</f>
        <v>2008</v>
      </c>
    </row>
    <row r="36" spans="1:3" ht="12" customHeight="1" x14ac:dyDescent="0.2">
      <c r="A36" s="4" t="s">
        <v>922</v>
      </c>
      <c r="B36" s="37">
        <f>HYPERLINK("https://docs.google.com/spreadsheet/ccc?key=0Av8O-dN2giY6dHBGTWRESHJlTEUzX24tUEhfN1BjQUE#gid=0",2012)</f>
        <v>2012</v>
      </c>
      <c r="C36" s="38">
        <f>HYPERLINK("https://docs.google.com/spreadsheet/ccc?key=0Av8O-dN2giY6dFBJR2RrSmhHVGs4cEpmenc2bHRrcEE#gid=0",2008)</f>
        <v>2008</v>
      </c>
    </row>
    <row r="37" spans="1:3" ht="12" customHeight="1" x14ac:dyDescent="0.2">
      <c r="A37" s="4" t="s">
        <v>923</v>
      </c>
      <c r="B37" s="39">
        <f>HYPERLINK("https://docs.google.com/spreadsheets/d/1f92dly9I722RL3AsbwjUmmD7g63PMBVMgYUGGgzRvuc/edit?usp=sharing",2012)</f>
        <v>2012</v>
      </c>
      <c r="C37" s="38">
        <f>HYPERLINK("https://docs.google.com/spreadsheet/ccc?key=0Av8O-dN2giY6dHhrWmtYX3h1TUtWYmNDNzQxcTVxdWc&amp;authkey=CMf59ucH&amp;authkey=CMf59ucH",2008)</f>
        <v>2008</v>
      </c>
    </row>
    <row r="38" spans="1:3" ht="12" customHeight="1" x14ac:dyDescent="0.2">
      <c r="A38" s="4" t="s">
        <v>924</v>
      </c>
      <c r="B38" s="37">
        <f>HYPERLINK("https://docs.google.com/spreadsheet/ccc?key=0Av8O-dN2giY6dHhTNTVGdnJaOS1sZ3JwbUtGRTZ0OWc#gid=0",2012)</f>
        <v>2012</v>
      </c>
      <c r="C38" s="40">
        <f>HYPERLINK("https://docs.google.com/spreadsheet/ccc?key=0Av8O-dN2giY6dDlPaHBEVnV3OEVxOXV3M2dhYURENUE#gid=0",2008)</f>
        <v>2008</v>
      </c>
    </row>
    <row r="39" spans="1:3" ht="12" customHeight="1" x14ac:dyDescent="0.2">
      <c r="A39" s="4" t="s">
        <v>925</v>
      </c>
      <c r="B39" s="37">
        <f>HYPERLINK("https://docs.google.com/spreadsheet/ccc?key=0Av8O-dN2giY6dHRTR0VnMzFfcXpZVDdBOXkyWDNHX0E#gid=0",2012)</f>
        <v>2012</v>
      </c>
      <c r="C39" s="38">
        <f>HYPERLINK("https://docs.google.com/spreadsheet/ccc?key=0Av8O-dN2giY6dGpmY0tiZV9tT3kzOTI0RmJXM1BZMkE#gid=0",2008)</f>
        <v>2008</v>
      </c>
    </row>
    <row r="40" spans="1:3" ht="12" customHeight="1" x14ac:dyDescent="0.2">
      <c r="A40" s="4" t="s">
        <v>926</v>
      </c>
      <c r="B40" s="38">
        <f>HYPERLINK("https://docs.google.com/spreadsheet/ccc?key=0Av8O-dN2giY6dExnZldoZl9fT0RyeW5yVXBzV21vQlE#gid=0",2012)</f>
        <v>2012</v>
      </c>
      <c r="C40" s="38">
        <f>HYPERLINK("https://docs.google.com/spreadsheet/ccc?key=0Av8O-dN2giY6dEVuMUlEZ2dqcVFkb3U3LUlBNElSbEE#gid=0",2008)</f>
        <v>2008</v>
      </c>
    </row>
    <row r="41" spans="1:3" ht="12" customHeight="1" x14ac:dyDescent="0.2">
      <c r="A41" s="4" t="s">
        <v>927</v>
      </c>
      <c r="B41" s="38">
        <f>HYPERLINK("https://docs.google.com/spreadsheet/ccc?key=0Av8O-dN2giY6dGlOM3ZjVUx4emotWHVYUFVBdnEwVGc#gid=0",2012)</f>
        <v>2012</v>
      </c>
      <c r="C41" s="38">
        <f>HYPERLINK("https://docs.google.com/spreadsheet/ccc?key=0Av8O-dN2giY6dG9oXzFiTXRaRWlBdkk5TDVsNnEzOGc#gid=0",2008)</f>
        <v>2008</v>
      </c>
    </row>
    <row r="42" spans="1:3" ht="12" customHeight="1" x14ac:dyDescent="0.2">
      <c r="A42" s="4" t="s">
        <v>928</v>
      </c>
      <c r="B42" s="89" t="s">
        <v>888</v>
      </c>
      <c r="C42" s="83"/>
    </row>
    <row r="43" spans="1:3" ht="12" customHeight="1" x14ac:dyDescent="0.2">
      <c r="A43" s="4" t="s">
        <v>929</v>
      </c>
      <c r="B43" s="38">
        <f>HYPERLINK("https://docs.google.com/spreadsheet/ccc?key=0Av8O-dN2giY6dEllb2k5cWhEZWNVb2NQalBDTHI4OFE#gid=0",2012)</f>
        <v>2012</v>
      </c>
      <c r="C43" s="38">
        <f>HYPERLINK("https://docs.google.com/spreadsheet/ccc?key=0Av8O-dN2giY6dC1OZENYQ1dNbEdYbmpQT1I4V3AzT2c#gid=0",2008)</f>
        <v>2008</v>
      </c>
    </row>
    <row r="44" spans="1:3" ht="12" customHeight="1" x14ac:dyDescent="0.2">
      <c r="A44" s="4" t="s">
        <v>930</v>
      </c>
      <c r="B44" s="37">
        <f>HYPERLINK("https://docs.google.com/spreadsheet/ccc?key=0Av8O-dN2giY6dEVuaEQ0OHR6c2puSEpMc3d5Q1NuY1E#gid=0",2012)</f>
        <v>2012</v>
      </c>
      <c r="C44" s="38"/>
    </row>
    <row r="45" spans="1:3" ht="12" customHeight="1" x14ac:dyDescent="0.2">
      <c r="A45" s="4" t="s">
        <v>931</v>
      </c>
      <c r="B45" s="37">
        <f>HYPERLINK("https://docs.google.com/spreadsheet/ccc?key=0Av8O-dN2giY6dFpwSDEzVDBWdGcwR3lDLVRVb2JJMkE#gid=0",2012)</f>
        <v>2012</v>
      </c>
      <c r="C45" s="38">
        <f>HYPERLINK("https://docs.google.com/spreadsheet/ccc?key=0Av8O-dN2giY6dEFmR3BQYjUtSndEYmNkeUpHcGdzVnc#gid=0",2008)</f>
        <v>2008</v>
      </c>
    </row>
    <row r="46" spans="1:3" ht="12" customHeight="1" x14ac:dyDescent="0.2">
      <c r="A46" s="4" t="s">
        <v>932</v>
      </c>
      <c r="B46" s="38">
        <f>HYPERLINK("https://docs.google.com/spreadsheet/ccc?key=0Av8O-dN2giY6dHN4RXZfWVZWRWozRE90WGJQSktBNmc#gid=0",2012)</f>
        <v>2012</v>
      </c>
      <c r="C46" s="38">
        <f>HYPERLINK("https://docs.google.com/spreadsheet/ccc?key=0Av8O-dN2giY6dFp0Zk4zNkE3Rmp6SFpkd2lwb2VrOVE#gid=0",2008)</f>
        <v>2008</v>
      </c>
    </row>
    <row r="47" spans="1:3" ht="12" customHeight="1" x14ac:dyDescent="0.2">
      <c r="A47" s="4" t="s">
        <v>933</v>
      </c>
      <c r="B47" s="89" t="s">
        <v>888</v>
      </c>
      <c r="C47" s="83"/>
    </row>
    <row r="48" spans="1:3" ht="12" customHeight="1" x14ac:dyDescent="0.2">
      <c r="A48" s="4" t="s">
        <v>934</v>
      </c>
      <c r="B48" s="40">
        <f>HYPERLINK("https://docs.google.com/spreadsheet/ccc?key=0Av8O-dN2giY6dDVheDVQVkRSek5pLUpTRGJKVUNHN0E#gid=0",2012)</f>
        <v>2012</v>
      </c>
      <c r="C48" s="38">
        <f>HYPERLINK("https://docs.google.com/spreadsheet/ccc?key=0Av8O-dN2giY6dFB0U0J1dFVMNWRUbG00M1hXOWFJLUE#gid=0",2008)</f>
        <v>2008</v>
      </c>
    </row>
    <row r="49" spans="1:3" ht="12" customHeight="1" x14ac:dyDescent="0.2">
      <c r="A49" s="4" t="s">
        <v>935</v>
      </c>
      <c r="B49" s="38">
        <f>HYPERLINK("https://docs.google.com/spreadsheet/ccc?key=0Av8O-dN2giY6dG5CZjVGRk5XaHlqZzh2QnFLZDduQXc#gid=0",2012)</f>
        <v>2012</v>
      </c>
      <c r="C49" s="38">
        <f>HYPERLINK("https://docs.google.com/spreadsheet/ccc?key=0Av8O-dN2giY6dEY5czhEc1g4R3FDZUF5c05SbTFRUUE#gid=0",2008)</f>
        <v>2008</v>
      </c>
    </row>
    <row r="50" spans="1:3" ht="12" customHeight="1" x14ac:dyDescent="0.2">
      <c r="A50" s="4" t="s">
        <v>936</v>
      </c>
      <c r="B50" s="38">
        <f>HYPERLINK("https://docs.google.com/spreadsheet/ccc?key=0Av8O-dN2giY6dHotbUNLel9mdVBhMERiQkNWV1h2Tnc#gid=0",2012)</f>
        <v>2012</v>
      </c>
      <c r="C50" s="38">
        <f>HYPERLINK("https://docs.google.com/spreadsheet/ccc?key=0Av8O-dN2giY6dHY2QW5Rbk0xbGxtNXZ0LWFkdUN6WEE#gid=0",2008)</f>
        <v>2008</v>
      </c>
    </row>
    <row r="51" spans="1:3" ht="12" customHeight="1" x14ac:dyDescent="0.2">
      <c r="A51" s="4" t="s">
        <v>937</v>
      </c>
      <c r="B51" s="89" t="s">
        <v>888</v>
      </c>
      <c r="C51" s="83"/>
    </row>
  </sheetData>
  <mergeCells count="8">
    <mergeCell ref="B42:C42"/>
    <mergeCell ref="B47:C47"/>
    <mergeCell ref="B51:C51"/>
    <mergeCell ref="B1:C1"/>
    <mergeCell ref="B2:C2"/>
    <mergeCell ref="B9:C9"/>
    <mergeCell ref="B27:C27"/>
    <mergeCell ref="B29:C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109"/>
  <sheetViews>
    <sheetView workbookViewId="0"/>
  </sheetViews>
  <sheetFormatPr defaultColWidth="12.5703125" defaultRowHeight="12.75" customHeight="1" x14ac:dyDescent="0.2"/>
  <cols>
    <col min="1" max="1" width="5.7109375" customWidth="1"/>
    <col min="2" max="2" width="19.140625" customWidth="1"/>
    <col min="3" max="3" width="33.28515625" customWidth="1"/>
    <col min="4" max="4" width="74.85546875" customWidth="1"/>
  </cols>
  <sheetData>
    <row r="1" spans="1:4" ht="12.75" customHeight="1" x14ac:dyDescent="0.2">
      <c r="A1" s="41" t="s">
        <v>885</v>
      </c>
      <c r="B1" s="41" t="s">
        <v>938</v>
      </c>
      <c r="C1" s="41" t="s">
        <v>939</v>
      </c>
      <c r="D1" s="41" t="s">
        <v>940</v>
      </c>
    </row>
    <row r="2" spans="1:4" ht="12.75" customHeight="1" x14ac:dyDescent="0.2">
      <c r="A2" s="42" t="s">
        <v>887</v>
      </c>
      <c r="B2" s="43" t="s">
        <v>941</v>
      </c>
      <c r="C2" s="44" t="str">
        <f>HYPERLINK("http://www.elections.alaska.gov/results/12GENR/data/results.htm","AK Sec. of State")</f>
        <v>AK Sec. of State</v>
      </c>
      <c r="D2" s="43" t="s">
        <v>942</v>
      </c>
    </row>
    <row r="3" spans="1:4" ht="12.75" customHeight="1" x14ac:dyDescent="0.2">
      <c r="A3" s="45" t="s">
        <v>889</v>
      </c>
      <c r="B3" s="46" t="s">
        <v>943</v>
      </c>
      <c r="C3" s="46"/>
      <c r="D3" s="46"/>
    </row>
    <row r="4" spans="1:4" ht="12.75" customHeight="1" x14ac:dyDescent="0.2">
      <c r="A4" s="47" t="s">
        <v>890</v>
      </c>
      <c r="B4" s="48" t="s">
        <v>941</v>
      </c>
      <c r="C4" s="49" t="str">
        <f>HYPERLINK("http://results.enr.clarityelections.com/AR/42843/113233/en/summary.html","AR Sec. of State")</f>
        <v>AR Sec. of State</v>
      </c>
      <c r="D4" s="50" t="s">
        <v>944</v>
      </c>
    </row>
    <row r="5" spans="1:4" ht="12.75" customHeight="1" x14ac:dyDescent="0.2">
      <c r="A5" s="47" t="s">
        <v>891</v>
      </c>
      <c r="B5" s="48" t="s">
        <v>941</v>
      </c>
      <c r="C5" s="49" t="str">
        <f>HYPERLINK("http://results.enr.clarityelections.com/AZ/42050/113544/Web01/en/summary.html","AZ Sec. of State")</f>
        <v>AZ Sec. of State</v>
      </c>
      <c r="D5" s="50" t="s">
        <v>945</v>
      </c>
    </row>
    <row r="6" spans="1:4" ht="12.75" customHeight="1" x14ac:dyDescent="0.2">
      <c r="A6" s="45" t="s">
        <v>892</v>
      </c>
      <c r="B6" s="46" t="s">
        <v>946</v>
      </c>
      <c r="C6" s="46"/>
      <c r="D6" s="46"/>
    </row>
    <row r="7" spans="1:4" ht="12.75" customHeight="1" x14ac:dyDescent="0.2">
      <c r="A7" s="47" t="s">
        <v>893</v>
      </c>
      <c r="B7" s="48" t="s">
        <v>941</v>
      </c>
      <c r="C7" s="49" t="str">
        <f>HYPERLINK("http://results.enr.clarityelections.com/CO/43032/113865/en/summary.html","CO Sec. of State")</f>
        <v>CO Sec. of State</v>
      </c>
      <c r="D7" s="50" t="s">
        <v>947</v>
      </c>
    </row>
    <row r="8" spans="1:4" ht="12.75" customHeight="1" x14ac:dyDescent="0.2">
      <c r="A8" s="4" t="s">
        <v>894</v>
      </c>
    </row>
    <row r="9" spans="1:4" ht="12.75" customHeight="1" x14ac:dyDescent="0.2">
      <c r="A9" s="47" t="s">
        <v>895</v>
      </c>
      <c r="B9" s="48" t="s">
        <v>941</v>
      </c>
      <c r="C9" s="49" t="str">
        <f>HYPERLINK("http://elections.delaware.gov/archive/elect12/elect12_general/html/stwoff_kns.shtml","DE Elec. Commissioner")</f>
        <v>DE Elec. Commissioner</v>
      </c>
      <c r="D9" s="48" t="s">
        <v>942</v>
      </c>
    </row>
    <row r="10" spans="1:4" ht="12.75" customHeight="1" x14ac:dyDescent="0.2">
      <c r="A10" s="51" t="s">
        <v>896</v>
      </c>
      <c r="B10" s="52" t="s">
        <v>941</v>
      </c>
      <c r="C10" s="53" t="str">
        <f>HYPERLINK("http://enight.elections.myflorida.com/","FL Dept. of State")</f>
        <v>FL Dept. of State</v>
      </c>
      <c r="D10" s="54" t="s">
        <v>948</v>
      </c>
    </row>
    <row r="11" spans="1:4" ht="12.75" customHeight="1" x14ac:dyDescent="0.2">
      <c r="A11" s="55"/>
      <c r="B11" s="56" t="s">
        <v>949</v>
      </c>
      <c r="C11" s="57" t="str">
        <f>HYPERLINK("http://elections.alachua.fl.us/ew_pages/20121106_General_SOVC.pdf","Alachua Co. Sup. of Elections")</f>
        <v>Alachua Co. Sup. of Elections</v>
      </c>
      <c r="D11" s="56"/>
    </row>
    <row r="12" spans="1:4" ht="12.75" customHeight="1" x14ac:dyDescent="0.2">
      <c r="A12" s="55"/>
      <c r="B12" s="56" t="s">
        <v>950</v>
      </c>
      <c r="C12" s="57" t="str">
        <f>HYPERLINK("http://results.enr.clarityelections.com/FL/Broward/42272/112723/en/reports.html","Broward Co. Sup. of Elections")</f>
        <v>Broward Co. Sup. of Elections</v>
      </c>
      <c r="D12" s="56"/>
    </row>
    <row r="13" spans="1:4" ht="12.75" customHeight="1" x14ac:dyDescent="0.2">
      <c r="A13" s="55"/>
      <c r="B13" s="56" t="s">
        <v>951</v>
      </c>
      <c r="C13" s="57" t="str">
        <f>HYPERLINK("http://www.electionsfl.org/clay/","Clay Co. Sup. of Elections")</f>
        <v>Clay Co. Sup. of Elections</v>
      </c>
      <c r="D13" s="56"/>
    </row>
    <row r="14" spans="1:4" ht="12.75" customHeight="1" x14ac:dyDescent="0.2">
      <c r="A14" s="55"/>
      <c r="B14" s="56" t="s">
        <v>952</v>
      </c>
      <c r="C14" s="57" t="str">
        <f>HYPERLINK("http://www.colliervotes.com/","Collier Co. Sup. of Elections")</f>
        <v>Collier Co. Sup. of Elections</v>
      </c>
      <c r="D14" s="56"/>
    </row>
    <row r="15" spans="1:4" ht="12.75" customHeight="1" x14ac:dyDescent="0.2">
      <c r="A15" s="55"/>
      <c r="B15" s="56" t="s">
        <v>953</v>
      </c>
      <c r="C15" s="57" t="str">
        <f>HYPERLINK("http://results.enr.clarityelections.com/FL/Duval/42561/112678/en/reports.html","Duval Co. Sup. of Elections")</f>
        <v>Duval Co. Sup. of Elections</v>
      </c>
      <c r="D15" s="56"/>
    </row>
    <row r="16" spans="1:4" ht="12.75" customHeight="1" x14ac:dyDescent="0.2">
      <c r="A16" s="55"/>
      <c r="B16" s="56" t="s">
        <v>954</v>
      </c>
      <c r="C16" s="57" t="str">
        <f>HYPERLINK("http://hendryelections.org/","Hendry Co. Sup. of Elections")</f>
        <v>Hendry Co. Sup. of Elections</v>
      </c>
      <c r="D16" s="56"/>
    </row>
    <row r="17" spans="1:4" ht="12.75" customHeight="1" x14ac:dyDescent="0.2">
      <c r="A17" s="55"/>
      <c r="B17" s="56" t="s">
        <v>955</v>
      </c>
      <c r="C17" s="57" t="str">
        <f>HYPERLINK("http://results.enr.clarityelections.com/FL/Hillsborough/43959/112753/en/reports.html","Hillsborough Co. Elections")</f>
        <v>Hillsborough Co. Elections</v>
      </c>
      <c r="D17" s="56"/>
    </row>
    <row r="18" spans="1:4" ht="12.75" customHeight="1" x14ac:dyDescent="0.2">
      <c r="A18" s="55"/>
      <c r="B18" s="56" t="s">
        <v>956</v>
      </c>
      <c r="C18" s="57" t="str">
        <f>HYPERLINK("http://www.holmeselections.com/","Holmes Co. Sup. of Elections")</f>
        <v>Holmes Co. Sup. of Elections</v>
      </c>
      <c r="D18" s="56"/>
    </row>
    <row r="19" spans="1:4" ht="12.75" customHeight="1" x14ac:dyDescent="0.2">
      <c r="A19" s="55"/>
      <c r="B19" s="56" t="s">
        <v>957</v>
      </c>
      <c r="C19" s="57" t="str">
        <f>HYPERLINK("http://elections.lakecountyfl.gov/","Lake Co. Sup. of Elections")</f>
        <v>Lake Co. Sup. of Elections</v>
      </c>
      <c r="D19" s="56"/>
    </row>
    <row r="20" spans="1:4" ht="12.75" customHeight="1" x14ac:dyDescent="0.2">
      <c r="A20" s="55"/>
      <c r="B20" s="56" t="s">
        <v>958</v>
      </c>
      <c r="C20" s="57" t="str">
        <f>HYPERLINK("http://leeelections.com/","Lee Co. Sup. of Elections")</f>
        <v>Lee Co. Sup. of Elections</v>
      </c>
      <c r="D20" s="56"/>
    </row>
    <row r="21" spans="1:4" ht="12.75" customHeight="1" x14ac:dyDescent="0.2">
      <c r="A21" s="55"/>
      <c r="B21" s="56" t="s">
        <v>959</v>
      </c>
      <c r="C21" s="57" t="str">
        <f>HYPERLINK("http://www.votemadison.com/index.php?id=57&amp;spanish=N","Madison Co. Sup. of Elections")</f>
        <v>Madison Co. Sup. of Elections</v>
      </c>
      <c r="D21" s="56"/>
    </row>
    <row r="22" spans="1:4" ht="12.75" customHeight="1" x14ac:dyDescent="0.2">
      <c r="A22" s="55"/>
      <c r="B22" s="56" t="s">
        <v>960</v>
      </c>
      <c r="C22" s="57" t="str">
        <f>HYPERLINK("http://www.votemanatee.com/","Manatee Co. Sup. of Elections")</f>
        <v>Manatee Co. Sup. of Elections</v>
      </c>
      <c r="D22" s="56"/>
    </row>
    <row r="23" spans="1:4" ht="12.75" customHeight="1" x14ac:dyDescent="0.2">
      <c r="A23" s="55"/>
      <c r="B23" s="56" t="s">
        <v>961</v>
      </c>
      <c r="C23" s="57" t="str">
        <f>HYPERLINK("http://results.enr.clarityelections.com/FL/Marion/42443/112684/en/reports.html","Marion Co. Sup. of Elections")</f>
        <v>Marion Co. Sup. of Elections</v>
      </c>
      <c r="D23" s="56"/>
    </row>
    <row r="24" spans="1:4" ht="12.75" customHeight="1" x14ac:dyDescent="0.2">
      <c r="A24" s="55"/>
      <c r="B24" s="56" t="s">
        <v>962</v>
      </c>
      <c r="C24" s="57" t="str">
        <f>HYPERLINK("http://results.enr.clarityelections.com/FL/Dade/42008/112848/en/reports.html#","Miami-Dade Co. Elections")</f>
        <v>Miami-Dade Co. Elections</v>
      </c>
      <c r="D24" s="56"/>
    </row>
    <row r="25" spans="1:4" ht="12.75" customHeight="1" x14ac:dyDescent="0.2">
      <c r="A25" s="55"/>
      <c r="B25" s="56" t="s">
        <v>963</v>
      </c>
      <c r="C25" s="57" t="str">
        <f>HYPERLINK("http://results.enr.clarityelections.com/FL/Orange/43105/112625/en/reports.html","Orange Co. Sup. of Elections")</f>
        <v>Orange Co. Sup. of Elections</v>
      </c>
      <c r="D25" s="56"/>
    </row>
    <row r="26" spans="1:4" ht="12.75" customHeight="1" x14ac:dyDescent="0.2">
      <c r="A26" s="55"/>
      <c r="B26" s="56" t="s">
        <v>964</v>
      </c>
      <c r="C26" s="57" t="str">
        <f>HYPERLINK("http://www.pbcelections.org/","Palm Beach Co. Sup. of Elections")</f>
        <v>Palm Beach Co. Sup. of Elections</v>
      </c>
      <c r="D26" s="56"/>
    </row>
    <row r="27" spans="1:4" ht="12.75" customHeight="1" x14ac:dyDescent="0.2">
      <c r="A27" s="55"/>
      <c r="B27" s="56" t="s">
        <v>965</v>
      </c>
      <c r="C27" s="57" t="str">
        <f>HYPERLINK("http://enr.votepinellas.com/FL/Pinellas/43334/112818/en/reports.html","Pinellas Co. Sup. of Elections")</f>
        <v>Pinellas Co. Sup. of Elections</v>
      </c>
      <c r="D27" s="56"/>
    </row>
    <row r="28" spans="1:4" ht="12.75" customHeight="1" x14ac:dyDescent="0.2">
      <c r="A28" s="55"/>
      <c r="B28" s="56" t="s">
        <v>966</v>
      </c>
      <c r="C28" s="57" t="str">
        <f>HYPERLINK("http://www.polkelections.com/content.asp?c=73","Polk Co. Sup. of Elections")</f>
        <v>Polk Co. Sup. of Elections</v>
      </c>
      <c r="D28" s="56"/>
    </row>
    <row r="29" spans="1:4" ht="12.75" customHeight="1" x14ac:dyDescent="0.2">
      <c r="A29" s="55"/>
      <c r="B29" s="56" t="s">
        <v>967</v>
      </c>
      <c r="C29" s="57" t="str">
        <f>HYPERLINK("http://soe.putnam-fl.com/","Putnam Co. Sup. of Elections")</f>
        <v>Putnam Co. Sup. of Elections</v>
      </c>
      <c r="D29" s="56"/>
    </row>
    <row r="30" spans="1:4" ht="12.75" customHeight="1" x14ac:dyDescent="0.2">
      <c r="A30" s="55"/>
      <c r="B30" s="56" t="s">
        <v>968</v>
      </c>
      <c r="C30" s="57" t="str">
        <f>HYPERLINK("http://www.voteseminole.org/","Seminole Co. Sup. of Elections")</f>
        <v>Seminole Co. Sup. of Elections</v>
      </c>
      <c r="D30" s="56"/>
    </row>
    <row r="31" spans="1:4" ht="12.75" customHeight="1" x14ac:dyDescent="0.2">
      <c r="A31" s="55"/>
      <c r="B31" s="56" t="s">
        <v>969</v>
      </c>
      <c r="C31" s="57" t="str">
        <f>HYPERLINK("http://volusiaelections.org/","Volusia Co. Dept. of Elections")</f>
        <v>Volusia Co. Dept. of Elections</v>
      </c>
      <c r="D31" s="56"/>
    </row>
    <row r="32" spans="1:4" ht="12.75" customHeight="1" x14ac:dyDescent="0.2">
      <c r="A32" s="47" t="s">
        <v>897</v>
      </c>
      <c r="B32" s="48" t="s">
        <v>941</v>
      </c>
      <c r="C32" s="49" t="str">
        <f>HYPERLINK("http://results.enr.clarityelections.com/GA/42277/112424/en/summary.html", "GA Sec. of State")</f>
        <v>GA Sec. of State</v>
      </c>
      <c r="D32" s="50" t="s">
        <v>970</v>
      </c>
    </row>
    <row r="33" spans="1:4" ht="12.75" customHeight="1" x14ac:dyDescent="0.2">
      <c r="A33" s="47" t="s">
        <v>898</v>
      </c>
      <c r="B33" s="48" t="s">
        <v>941</v>
      </c>
      <c r="C33" s="49" t="str">
        <f>HYPERLINK("http://hawaii.gov/elections/results/2012/general/","HI Office of Elections")</f>
        <v>HI Office of Elections</v>
      </c>
      <c r="D33" s="50" t="s">
        <v>971</v>
      </c>
    </row>
    <row r="34" spans="1:4" ht="12.75" customHeight="1" x14ac:dyDescent="0.2">
      <c r="A34" s="47" t="s">
        <v>899</v>
      </c>
      <c r="B34" s="48" t="s">
        <v>941</v>
      </c>
      <c r="C34" s="49" t="str">
        <f>HYPERLINK("http://electionresults.sos.iowa.gov/resultsSW.aspx?type=FED&amp;map=CTY","IA Sec. of State")</f>
        <v>IA Sec. of State</v>
      </c>
      <c r="D34" s="50" t="s">
        <v>972</v>
      </c>
    </row>
    <row r="35" spans="1:4" ht="12.75" customHeight="1" x14ac:dyDescent="0.2">
      <c r="A35" s="47" t="s">
        <v>900</v>
      </c>
      <c r="B35" s="48" t="s">
        <v>941</v>
      </c>
      <c r="C35" s="49" t="str">
        <f>HYPERLINK("http://www.sos.idaho.gov/elect/RESULTS/2012/General/12%20Gen_fed_prec.xls","ID Sec. of State")</f>
        <v>ID Sec. of State</v>
      </c>
      <c r="D35" s="50" t="s">
        <v>973</v>
      </c>
    </row>
    <row r="36" spans="1:4" ht="12.75" customHeight="1" x14ac:dyDescent="0.2">
      <c r="A36" s="51" t="s">
        <v>901</v>
      </c>
      <c r="B36" s="52" t="s">
        <v>941</v>
      </c>
      <c r="C36" s="52"/>
      <c r="D36" s="52"/>
    </row>
    <row r="37" spans="1:4" ht="12.75" customHeight="1" x14ac:dyDescent="0.2">
      <c r="A37" s="55"/>
      <c r="B37" s="56" t="s">
        <v>974</v>
      </c>
      <c r="C37" s="56" t="s">
        <v>975</v>
      </c>
      <c r="D37" s="56"/>
    </row>
    <row r="38" spans="1:4" ht="12.75" customHeight="1" x14ac:dyDescent="0.2">
      <c r="A38" s="55"/>
      <c r="B38" s="56" t="s">
        <v>976</v>
      </c>
      <c r="C38" s="56" t="s">
        <v>977</v>
      </c>
      <c r="D38" s="56"/>
    </row>
    <row r="39" spans="1:4" ht="12.75" customHeight="1" x14ac:dyDescent="0.2">
      <c r="A39" s="55"/>
      <c r="B39" s="56" t="s">
        <v>978</v>
      </c>
      <c r="C39" s="56" t="s">
        <v>979</v>
      </c>
      <c r="D39" s="56"/>
    </row>
    <row r="40" spans="1:4" ht="12.75" customHeight="1" x14ac:dyDescent="0.2">
      <c r="A40" s="55"/>
      <c r="B40" s="56" t="s">
        <v>980</v>
      </c>
      <c r="C40" s="56" t="s">
        <v>981</v>
      </c>
      <c r="D40" s="56"/>
    </row>
    <row r="41" spans="1:4" ht="12.75" customHeight="1" x14ac:dyDescent="0.2">
      <c r="A41" s="55"/>
      <c r="B41" s="56" t="s">
        <v>982</v>
      </c>
      <c r="C41" s="56" t="s">
        <v>983</v>
      </c>
      <c r="D41" s="56"/>
    </row>
    <row r="42" spans="1:4" ht="12.75" customHeight="1" x14ac:dyDescent="0.2">
      <c r="A42" s="55"/>
      <c r="B42" s="56" t="s">
        <v>984</v>
      </c>
      <c r="C42" s="56" t="s">
        <v>985</v>
      </c>
      <c r="D42" s="56"/>
    </row>
    <row r="43" spans="1:4" ht="12.75" customHeight="1" x14ac:dyDescent="0.2">
      <c r="A43" s="55"/>
      <c r="B43" s="56" t="s">
        <v>986</v>
      </c>
      <c r="C43" s="56" t="s">
        <v>987</v>
      </c>
      <c r="D43" s="56"/>
    </row>
    <row r="44" spans="1:4" ht="12.75" customHeight="1" x14ac:dyDescent="0.2">
      <c r="A44" s="55"/>
      <c r="B44" s="56" t="s">
        <v>988</v>
      </c>
      <c r="C44" s="56" t="s">
        <v>989</v>
      </c>
      <c r="D44" s="56"/>
    </row>
    <row r="45" spans="1:4" x14ac:dyDescent="0.2">
      <c r="A45" s="55"/>
      <c r="B45" s="56" t="s">
        <v>957</v>
      </c>
      <c r="C45" s="56" t="s">
        <v>990</v>
      </c>
      <c r="D45" s="56"/>
    </row>
    <row r="46" spans="1:4" x14ac:dyDescent="0.2">
      <c r="A46" s="55"/>
      <c r="B46" s="56" t="s">
        <v>959</v>
      </c>
      <c r="C46" s="56" t="s">
        <v>991</v>
      </c>
      <c r="D46" s="56"/>
    </row>
    <row r="47" spans="1:4" x14ac:dyDescent="0.2">
      <c r="A47" s="55"/>
      <c r="B47" s="56" t="s">
        <v>992</v>
      </c>
      <c r="C47" s="56" t="s">
        <v>993</v>
      </c>
      <c r="D47" s="56"/>
    </row>
    <row r="48" spans="1:4" x14ac:dyDescent="0.2">
      <c r="A48" s="55"/>
      <c r="B48" s="56" t="s">
        <v>994</v>
      </c>
      <c r="C48" s="56" t="s">
        <v>995</v>
      </c>
      <c r="D48" s="56"/>
    </row>
    <row r="49" spans="1:4" x14ac:dyDescent="0.2">
      <c r="A49" s="55"/>
      <c r="B49" s="56" t="s">
        <v>996</v>
      </c>
      <c r="C49" s="56" t="s">
        <v>997</v>
      </c>
      <c r="D49" s="56"/>
    </row>
    <row r="50" spans="1:4" x14ac:dyDescent="0.2">
      <c r="A50" s="55"/>
      <c r="B50" s="56" t="s">
        <v>998</v>
      </c>
      <c r="C50" s="56" t="s">
        <v>999</v>
      </c>
      <c r="D50" s="56"/>
    </row>
    <row r="51" spans="1:4" x14ac:dyDescent="0.2">
      <c r="A51" s="55"/>
      <c r="B51" s="56" t="s">
        <v>1000</v>
      </c>
      <c r="C51" s="56" t="s">
        <v>1001</v>
      </c>
      <c r="D51" s="56"/>
    </row>
    <row r="52" spans="1:4" x14ac:dyDescent="0.2">
      <c r="A52" s="55"/>
      <c r="B52" s="56" t="s">
        <v>1002</v>
      </c>
      <c r="C52" s="56" t="s">
        <v>1003</v>
      </c>
      <c r="D52" s="56"/>
    </row>
    <row r="53" spans="1:4" x14ac:dyDescent="0.2">
      <c r="A53" s="55"/>
      <c r="B53" s="56" t="s">
        <v>1004</v>
      </c>
      <c r="C53" s="56" t="s">
        <v>1005</v>
      </c>
      <c r="D53" s="56"/>
    </row>
    <row r="54" spans="1:4" x14ac:dyDescent="0.2">
      <c r="A54" s="55"/>
      <c r="B54" s="56" t="s">
        <v>1006</v>
      </c>
      <c r="C54" s="56" t="s">
        <v>1007</v>
      </c>
      <c r="D54" s="56"/>
    </row>
    <row r="55" spans="1:4" x14ac:dyDescent="0.2">
      <c r="A55" s="55"/>
      <c r="B55" s="56" t="s">
        <v>1008</v>
      </c>
      <c r="C55" s="56" t="s">
        <v>1009</v>
      </c>
      <c r="D55" s="56"/>
    </row>
    <row r="56" spans="1:4" x14ac:dyDescent="0.2">
      <c r="A56" s="55"/>
      <c r="B56" s="56" t="s">
        <v>1010</v>
      </c>
      <c r="C56" s="56" t="s">
        <v>1011</v>
      </c>
      <c r="D56" s="56"/>
    </row>
    <row r="57" spans="1:4" ht="25.5" x14ac:dyDescent="0.2">
      <c r="A57" s="55"/>
      <c r="B57" s="56" t="s">
        <v>1012</v>
      </c>
      <c r="C57" s="56" t="s">
        <v>1013</v>
      </c>
      <c r="D57" s="56"/>
    </row>
    <row r="58" spans="1:4" x14ac:dyDescent="0.2">
      <c r="A58" s="55"/>
      <c r="B58" s="56" t="s">
        <v>1014</v>
      </c>
      <c r="C58" s="56" t="s">
        <v>1015</v>
      </c>
      <c r="D58" s="56"/>
    </row>
    <row r="59" spans="1:4" x14ac:dyDescent="0.2">
      <c r="A59" s="55"/>
      <c r="B59" s="56" t="s">
        <v>1016</v>
      </c>
      <c r="C59" s="56" t="s">
        <v>1017</v>
      </c>
      <c r="D59" s="56"/>
    </row>
    <row r="60" spans="1:4" ht="25.5" x14ac:dyDescent="0.2">
      <c r="A60" s="45" t="s">
        <v>902</v>
      </c>
      <c r="B60" s="46" t="s">
        <v>1018</v>
      </c>
      <c r="C60" s="58"/>
      <c r="D60" s="58"/>
    </row>
    <row r="61" spans="1:4" ht="25.5" x14ac:dyDescent="0.2">
      <c r="A61" s="51" t="s">
        <v>903</v>
      </c>
      <c r="B61" s="52" t="s">
        <v>941</v>
      </c>
      <c r="C61" s="53" t="str">
        <f>HYPERLINK("http://www.kssos.org/elections/elections_statistics.html","KS Sec. of State")</f>
        <v>KS Sec. of State</v>
      </c>
      <c r="D61" s="54" t="s">
        <v>1019</v>
      </c>
    </row>
    <row r="62" spans="1:4" x14ac:dyDescent="0.2">
      <c r="A62" s="55"/>
      <c r="B62" s="56" t="s">
        <v>1020</v>
      </c>
      <c r="C62" s="57" t="str">
        <f>HYPERLINK("http://www.marshall.kansasgov.com/","Marshall Co. Election Office")</f>
        <v>Marshall Co. Election Office</v>
      </c>
      <c r="D62" s="56"/>
    </row>
    <row r="63" spans="1:4" x14ac:dyDescent="0.2">
      <c r="A63" s="55"/>
      <c r="B63" s="56" t="s">
        <v>1021</v>
      </c>
      <c r="C63" s="57" t="str">
        <f>HYPERLINK("http://www.miamicountyks.org/clerk2.html","Miami Co. Clerk")</f>
        <v>Miami Co. Clerk</v>
      </c>
      <c r="D63" s="56"/>
    </row>
    <row r="64" spans="1:4" x14ac:dyDescent="0.2">
      <c r="A64" s="55"/>
      <c r="B64" s="56" t="s">
        <v>1022</v>
      </c>
      <c r="C64" s="57" t="str">
        <f>HYPERLINK("http://www.pawneecountykansas.com/Election/tabid/6395/Default.aspx","Pawnee Co. Clerk")</f>
        <v>Pawnee Co. Clerk</v>
      </c>
      <c r="D64" s="56"/>
    </row>
    <row r="65" spans="1:4" ht="25.5" x14ac:dyDescent="0.2">
      <c r="A65" s="47" t="s">
        <v>904</v>
      </c>
      <c r="B65" s="48" t="s">
        <v>941</v>
      </c>
      <c r="C65" s="49" t="str">
        <f>HYPERLINK("http://elect.ky.gov/results/2010-2019/Pages/2012primaryandgeneralelectionresults.aspx","KY State Bd. of Elections")</f>
        <v>KY State Bd. of Elections</v>
      </c>
      <c r="D65" s="50" t="s">
        <v>1023</v>
      </c>
    </row>
    <row r="66" spans="1:4" ht="25.5" x14ac:dyDescent="0.2">
      <c r="A66" s="47" t="s">
        <v>905</v>
      </c>
      <c r="B66" s="48" t="s">
        <v>941</v>
      </c>
      <c r="C66" s="49" t="str">
        <f>HYPERLINK("http://electionresults.sos.la.gov/graphical/","LA Sec. of State")</f>
        <v>LA Sec. of State</v>
      </c>
      <c r="D66" s="50" t="s">
        <v>1024</v>
      </c>
    </row>
    <row r="67" spans="1:4" x14ac:dyDescent="0.2">
      <c r="A67" s="4" t="s">
        <v>906</v>
      </c>
    </row>
    <row r="68" spans="1:4" x14ac:dyDescent="0.2">
      <c r="A68" s="47" t="s">
        <v>907</v>
      </c>
      <c r="B68" s="48" t="s">
        <v>941</v>
      </c>
      <c r="C68" s="49" t="str">
        <f>HYPERLINK("http://www.elections.state.md.us/elections/2012/election_data/index.html","MD State Bd. of Elections")</f>
        <v>MD State Bd. of Elections</v>
      </c>
      <c r="D68" s="59" t="s">
        <v>1025</v>
      </c>
    </row>
    <row r="69" spans="1:4" x14ac:dyDescent="0.2">
      <c r="A69" s="4" t="s">
        <v>908</v>
      </c>
    </row>
    <row r="70" spans="1:4" ht="25.5" x14ac:dyDescent="0.2">
      <c r="A70" s="45" t="s">
        <v>909</v>
      </c>
      <c r="B70" s="46" t="s">
        <v>946</v>
      </c>
      <c r="C70" s="58"/>
      <c r="D70" s="58"/>
    </row>
    <row r="71" spans="1:4" ht="25.5" x14ac:dyDescent="0.2">
      <c r="A71" s="47" t="s">
        <v>910</v>
      </c>
      <c r="B71" s="48" t="s">
        <v>941</v>
      </c>
      <c r="C71" s="49" t="str">
        <f>HYPERLINK("http://electionresults.sos.state.mn.us/enr/enr/home/1","MN Sec. of State")</f>
        <v>MN Sec. of State</v>
      </c>
      <c r="D71" s="50" t="s">
        <v>1026</v>
      </c>
    </row>
    <row r="72" spans="1:4" x14ac:dyDescent="0.2">
      <c r="A72" s="45" t="s">
        <v>911</v>
      </c>
      <c r="B72" s="46" t="s">
        <v>943</v>
      </c>
      <c r="C72" s="46"/>
      <c r="D72" s="46"/>
    </row>
    <row r="73" spans="1:4" ht="25.5" x14ac:dyDescent="0.2">
      <c r="A73" s="47" t="s">
        <v>912</v>
      </c>
      <c r="B73" s="48" t="s">
        <v>941</v>
      </c>
      <c r="C73" s="49" t="str">
        <f>HYPERLINK("http://www.sos.ms.gov/elections_results_2012_general.aspx","MS Sec. of State")</f>
        <v>MS Sec. of State</v>
      </c>
      <c r="D73" s="50" t="s">
        <v>1027</v>
      </c>
    </row>
    <row r="74" spans="1:4" x14ac:dyDescent="0.2">
      <c r="A74" s="47" t="s">
        <v>913</v>
      </c>
      <c r="B74" s="48" t="s">
        <v>941</v>
      </c>
      <c r="C74" s="49" t="str">
        <f>HYPERLINK("http://sos.mt.gov/elections/2012/2012_General_Canvass.pdf","MT Sec. of State")</f>
        <v>MT Sec. of State</v>
      </c>
      <c r="D74" s="48" t="s">
        <v>942</v>
      </c>
    </row>
    <row r="75" spans="1:4" ht="25.5" x14ac:dyDescent="0.2">
      <c r="A75" s="47" t="s">
        <v>914</v>
      </c>
      <c r="B75" s="48" t="s">
        <v>941</v>
      </c>
      <c r="C75" s="49" t="str">
        <f>HYPERLINK("http://results.enr.clarityelections.com/NC/42923/113873/Web01/en/summary.html","NC State Bd. of Elections")</f>
        <v>NC State Bd. of Elections</v>
      </c>
      <c r="D75" s="50" t="s">
        <v>1028</v>
      </c>
    </row>
    <row r="76" spans="1:4" x14ac:dyDescent="0.2">
      <c r="A76" s="47" t="s">
        <v>915</v>
      </c>
      <c r="B76" s="48" t="s">
        <v>941</v>
      </c>
      <c r="C76" s="49" t="str">
        <f>HYPERLINK("http://results.sos.nd.gov/resultsSW.aspx?text=Race&amp;type=SW&amp;map=CTY","ND Sec. of State")</f>
        <v>ND Sec. of State</v>
      </c>
      <c r="D76" s="48" t="s">
        <v>942</v>
      </c>
    </row>
    <row r="77" spans="1:4" x14ac:dyDescent="0.2">
      <c r="A77" s="4" t="s">
        <v>916</v>
      </c>
    </row>
    <row r="78" spans="1:4" ht="25.5" x14ac:dyDescent="0.2">
      <c r="A78" s="47" t="s">
        <v>917</v>
      </c>
      <c r="B78" s="48" t="s">
        <v>941</v>
      </c>
      <c r="C78" s="49" t="str">
        <f>HYPERLINK("http://sos.nh.gov/2012PresGen.aspx","NH Sec. of State")</f>
        <v>NH Sec. of State</v>
      </c>
      <c r="D78" s="50" t="s">
        <v>1029</v>
      </c>
    </row>
    <row r="79" spans="1:4" x14ac:dyDescent="0.2">
      <c r="A79" s="4" t="s">
        <v>918</v>
      </c>
    </row>
    <row r="80" spans="1:4" x14ac:dyDescent="0.2">
      <c r="A80" s="47" t="s">
        <v>919</v>
      </c>
      <c r="B80" s="48" t="s">
        <v>941</v>
      </c>
      <c r="C80" s="49" t="str">
        <f>HYPERLINK("http://www.electionpeople.com/nmger2012/County/GroupByCountyTable.aspx","NM Sec. of State")</f>
        <v>NM Sec. of State</v>
      </c>
      <c r="D80" s="48"/>
    </row>
    <row r="81" spans="1:4" ht="25.5" x14ac:dyDescent="0.2">
      <c r="A81" s="51" t="s">
        <v>920</v>
      </c>
      <c r="B81" s="52" t="s">
        <v>941</v>
      </c>
      <c r="C81" s="53" t="str">
        <f>HYPERLINK("http://www.silverstateelection.com/USPresidential/index.shtml","NV Sec. of State")</f>
        <v>NV Sec. of State</v>
      </c>
      <c r="D81" s="54" t="s">
        <v>1030</v>
      </c>
    </row>
    <row r="82" spans="1:4" x14ac:dyDescent="0.2">
      <c r="A82" s="55"/>
      <c r="B82" s="56" t="s">
        <v>1031</v>
      </c>
      <c r="C82" s="57" t="str">
        <f>HYPERLINK("http://www.clarkcountynv.gov/Depts/election/Pages/ElectionHistory.aspx?ecode=12G&amp;ecat=3","Clark Co. Elections")</f>
        <v>Clark Co. Elections</v>
      </c>
      <c r="D82" s="56"/>
    </row>
    <row r="83" spans="1:4" x14ac:dyDescent="0.2">
      <c r="A83" s="55"/>
      <c r="B83" s="56" t="s">
        <v>1032</v>
      </c>
      <c r="C83" s="57" t="str">
        <f>HYPERLINK("http://www.lyon-county.org/index.aspx?NID=16","Lyon Co. Clerk/Treasurer")</f>
        <v>Lyon Co. Clerk/Treasurer</v>
      </c>
      <c r="D83" s="56"/>
    </row>
    <row r="84" spans="1:4" x14ac:dyDescent="0.2">
      <c r="A84" s="45" t="s">
        <v>921</v>
      </c>
      <c r="B84" s="46" t="s">
        <v>943</v>
      </c>
      <c r="C84" s="46"/>
      <c r="D84" s="46"/>
    </row>
    <row r="85" spans="1:4" x14ac:dyDescent="0.2">
      <c r="A85" s="45" t="s">
        <v>922</v>
      </c>
      <c r="B85" s="46" t="s">
        <v>943</v>
      </c>
      <c r="C85" s="46"/>
      <c r="D85" s="46"/>
    </row>
    <row r="86" spans="1:4" ht="25.5" x14ac:dyDescent="0.2">
      <c r="A86" s="47" t="s">
        <v>923</v>
      </c>
      <c r="B86" s="48" t="s">
        <v>941</v>
      </c>
      <c r="C86" s="49" t="str">
        <f>HYPERLINK("http://www.ok.gov/elections/Candidates_&amp;_Elections/General_Election_-_November_6,_2012.html","OK State Election Board")</f>
        <v>OK State Election Board</v>
      </c>
      <c r="D86" s="50" t="s">
        <v>1033</v>
      </c>
    </row>
    <row r="87" spans="1:4" ht="25.5" x14ac:dyDescent="0.2">
      <c r="A87" s="51" t="s">
        <v>924</v>
      </c>
      <c r="B87" s="52" t="s">
        <v>941</v>
      </c>
      <c r="C87" s="53" t="str">
        <f>HYPERLINK("http://oregonvotes.org/index.html","OR Sec. of State")</f>
        <v>OR Sec. of State</v>
      </c>
      <c r="D87" s="54" t="s">
        <v>1034</v>
      </c>
    </row>
    <row r="88" spans="1:4" x14ac:dyDescent="0.2">
      <c r="A88" s="55"/>
      <c r="B88" s="56" t="s">
        <v>1035</v>
      </c>
      <c r="C88" s="57" t="str">
        <f>HYPERLINK("http://www.co.benton.or.us/elections/2010-2019.php","Benton Co. Elections")</f>
        <v>Benton Co. Elections</v>
      </c>
      <c r="D88" s="56"/>
    </row>
    <row r="89" spans="1:4" x14ac:dyDescent="0.2">
      <c r="A89" s="55"/>
      <c r="B89" s="56" t="s">
        <v>1036</v>
      </c>
      <c r="C89" s="57" t="str">
        <f>HYPERLINK("http://www.clackamas.us/elections/results.html","Clackamas Co. Elections")</f>
        <v>Clackamas Co. Elections</v>
      </c>
      <c r="D89" s="56"/>
    </row>
    <row r="90" spans="1:4" x14ac:dyDescent="0.2">
      <c r="A90" s="55"/>
      <c r="B90" s="56" t="s">
        <v>1037</v>
      </c>
      <c r="C90" s="57" t="str">
        <f>HYPERLINK("http://www.co.josephine.or.us/Page.asp?NavID=747","Josephine Co. Election Div.")</f>
        <v>Josephine Co. Election Div.</v>
      </c>
      <c r="D90" s="56"/>
    </row>
    <row r="91" spans="1:4" x14ac:dyDescent="0.2">
      <c r="A91" s="55"/>
      <c r="B91" s="56" t="s">
        <v>1038</v>
      </c>
      <c r="C91" s="57" t="str">
        <f>HYPERLINK("http://web.multco.us/elections/november-6-2012-general-election","Multnomah Co. Elections")</f>
        <v>Multnomah Co. Elections</v>
      </c>
      <c r="D91" s="56"/>
    </row>
    <row r="92" spans="1:4" x14ac:dyDescent="0.2">
      <c r="A92" s="45" t="s">
        <v>925</v>
      </c>
      <c r="B92" s="46" t="s">
        <v>943</v>
      </c>
      <c r="C92" s="58"/>
      <c r="D92" s="58"/>
    </row>
    <row r="93" spans="1:4" ht="25.5" x14ac:dyDescent="0.2">
      <c r="A93" s="47" t="s">
        <v>926</v>
      </c>
      <c r="B93" s="48" t="s">
        <v>941</v>
      </c>
      <c r="C93" s="49" t="str">
        <f>HYPERLINK("http://www.ri.gov/election/results/2012/general_election/","RI Board of Elections")</f>
        <v>RI Board of Elections</v>
      </c>
      <c r="D93" s="50" t="s">
        <v>1039</v>
      </c>
    </row>
    <row r="94" spans="1:4" ht="25.5" x14ac:dyDescent="0.2">
      <c r="A94" s="47" t="s">
        <v>927</v>
      </c>
      <c r="B94" s="48" t="s">
        <v>941</v>
      </c>
      <c r="C94" s="49" t="str">
        <f>HYPERLINK("http://www.enr-scvotes.org/SC/42513/113010/en/summary.html","SC Board of Elections")</f>
        <v>SC Board of Elections</v>
      </c>
      <c r="D94" s="50" t="s">
        <v>1040</v>
      </c>
    </row>
    <row r="95" spans="1:4" x14ac:dyDescent="0.2">
      <c r="A95" s="47" t="s">
        <v>928</v>
      </c>
      <c r="B95" s="48" t="s">
        <v>941</v>
      </c>
      <c r="C95" s="49" t="str">
        <f>HYPERLINK("http://sdsos.gov/content/html/elections/electvoterpdfs/2012/OfficialGeneralElectionStateCanvass.pdf","SD Sec. of State")</f>
        <v>SD Sec. of State</v>
      </c>
      <c r="D95" s="48" t="s">
        <v>942</v>
      </c>
    </row>
    <row r="96" spans="1:4" ht="25.5" x14ac:dyDescent="0.2">
      <c r="A96" s="47" t="s">
        <v>929</v>
      </c>
      <c r="B96" s="48" t="s">
        <v>941</v>
      </c>
      <c r="C96" s="49" t="str">
        <f>HYPERLINK("http://www.tn.gov/sos/election/results/2012-11/index.htm","TN Sec. of State")</f>
        <v>TN Sec. of State</v>
      </c>
      <c r="D96" s="50" t="s">
        <v>1041</v>
      </c>
    </row>
    <row r="97" spans="1:4" x14ac:dyDescent="0.2">
      <c r="A97" s="45" t="s">
        <v>930</v>
      </c>
      <c r="B97" s="46" t="s">
        <v>943</v>
      </c>
      <c r="C97" s="46"/>
      <c r="D97" s="46"/>
    </row>
    <row r="98" spans="1:4" ht="25.5" x14ac:dyDescent="0.2">
      <c r="A98" s="51" t="s">
        <v>931</v>
      </c>
      <c r="B98" s="52" t="s">
        <v>941</v>
      </c>
      <c r="C98" s="53" t="str">
        <f>HYPERLINK("http://elections.utah.gov/election-resources/election-results","Utah Elections")</f>
        <v>Utah Elections</v>
      </c>
      <c r="D98" s="54" t="s">
        <v>1042</v>
      </c>
    </row>
    <row r="99" spans="1:4" x14ac:dyDescent="0.2">
      <c r="A99" s="55"/>
      <c r="B99" s="56" t="s">
        <v>1043</v>
      </c>
      <c r="C99" s="57" t="str">
        <f>HYPERLINK("http://www.co.davis.ut.us/clerkauditor/elections/election_results/default.cfm","Davis Co. Clerk/Auditor")</f>
        <v>Davis Co. Clerk/Auditor</v>
      </c>
      <c r="D99" s="56"/>
    </row>
    <row r="100" spans="1:4" x14ac:dyDescent="0.2">
      <c r="A100" s="55"/>
      <c r="B100" s="56" t="s">
        <v>1044</v>
      </c>
      <c r="C100" s="57" t="str">
        <f>HYPERLINK("http://www.co.juab.ut.us/county/clerk/index.html","Juab Co. Clerk")</f>
        <v>Juab Co. Clerk</v>
      </c>
      <c r="D100" s="56"/>
    </row>
    <row r="101" spans="1:4" x14ac:dyDescent="0.2">
      <c r="A101" s="55"/>
      <c r="B101" s="56" t="s">
        <v>1045</v>
      </c>
      <c r="C101" s="57" t="str">
        <f>HYPERLINK("https://secure.slco.org/clerk/elections/results/public/","Salt Lake Co. Clerk")</f>
        <v>Salt Lake Co. Clerk</v>
      </c>
      <c r="D101" s="56"/>
    </row>
    <row r="102" spans="1:4" x14ac:dyDescent="0.2">
      <c r="A102" s="55"/>
      <c r="B102" s="56" t="s">
        <v>1046</v>
      </c>
      <c r="C102" s="57" t="str">
        <f>HYPERLINK("http://sanpete.com/pages/clerk","Sanpete Co. Clerk")</f>
        <v>Sanpete Co. Clerk</v>
      </c>
      <c r="D102" s="56"/>
    </row>
    <row r="103" spans="1:4" x14ac:dyDescent="0.2">
      <c r="A103" s="55"/>
      <c r="B103" s="56" t="s">
        <v>1047</v>
      </c>
      <c r="C103" s="57" t="str">
        <f>HYPERLINK("http://www.utahcountyonline.org/Dept/ClerkAud/Elections/index.asp","Utah Co. Clerk/Auditor")</f>
        <v>Utah Co. Clerk/Auditor</v>
      </c>
      <c r="D103" s="56"/>
    </row>
    <row r="104" spans="1:4" x14ac:dyDescent="0.2">
      <c r="A104" s="47" t="s">
        <v>932</v>
      </c>
      <c r="B104" s="48" t="s">
        <v>941</v>
      </c>
      <c r="C104" s="49" t="str">
        <f>HYPERLINK("https://www.voterinfo.sbe.virginia.gov/election/DATA/2012/68C30477-AAF2-46DD-994E-5D3BE8A89C9B/Official/1_s.shtml","VA State Board of Elections")</f>
        <v>VA State Board of Elections</v>
      </c>
      <c r="D104" s="48" t="s">
        <v>942</v>
      </c>
    </row>
    <row r="105" spans="1:4" x14ac:dyDescent="0.2">
      <c r="A105" s="47" t="s">
        <v>933</v>
      </c>
      <c r="B105" s="48" t="s">
        <v>941</v>
      </c>
      <c r="C105" s="49" t="str">
        <f>HYPERLINK("http://vermont-elections.org/elections1/2012ElectionResults/2012_election_info.html","VT Sec. of State")</f>
        <v>VT Sec. of State</v>
      </c>
      <c r="D105" s="48" t="s">
        <v>942</v>
      </c>
    </row>
    <row r="106" spans="1:4" x14ac:dyDescent="0.2">
      <c r="A106" s="47" t="s">
        <v>934</v>
      </c>
      <c r="B106" s="48" t="s">
        <v>941</v>
      </c>
      <c r="C106" s="49" t="str">
        <f>HYPERLINK("https://wei.sos.wa.gov/agency/osos/en/press_and_research/PreviousElections/2012/General-Election/Pages/Results.aspx","WA Sec. of State")</f>
        <v>WA Sec. of State</v>
      </c>
      <c r="D106" s="48" t="s">
        <v>942</v>
      </c>
    </row>
    <row r="107" spans="1:4" ht="25.5" x14ac:dyDescent="0.2">
      <c r="A107" s="47" t="s">
        <v>935</v>
      </c>
      <c r="B107" s="48" t="s">
        <v>941</v>
      </c>
      <c r="C107" s="49" t="str">
        <f>HYPERLINK("http://gab.wi.gov/elections-voting/results/2012/fall-general","WI Gov't. Accountability Bd.")</f>
        <v>WI Gov't. Accountability Bd.</v>
      </c>
      <c r="D107" s="50" t="s">
        <v>1048</v>
      </c>
    </row>
    <row r="108" spans="1:4" x14ac:dyDescent="0.2">
      <c r="A108" s="47" t="s">
        <v>936</v>
      </c>
      <c r="B108" s="48" t="s">
        <v>941</v>
      </c>
      <c r="C108" s="49" t="str">
        <f>HYPERLINK("http://apps.sos.wv.gov/elections/results/results.aspx?year=2012&amp;eid=13&amp;county=Statewide","WV Sec. of State")</f>
        <v>WV Sec. of State</v>
      </c>
      <c r="D108" s="48"/>
    </row>
    <row r="109" spans="1:4" x14ac:dyDescent="0.2">
      <c r="A109" s="47" t="s">
        <v>937</v>
      </c>
      <c r="B109" s="48" t="s">
        <v>941</v>
      </c>
      <c r="C109" s="49" t="str">
        <f>HYPERLINK("http://soswy.state.wy.us/Elections/Docs/2012/Results/General/2012_Statewide_Candidates_Summary.pdf","WY Sec. of State")</f>
        <v>WY Sec. of State</v>
      </c>
      <c r="D109" s="48" t="s">
        <v>942</v>
      </c>
    </row>
  </sheetData>
  <hyperlinks>
    <hyperlink ref="D4" r:id="rId1" xr:uid="{00000000-0004-0000-0400-000000000000}"/>
    <hyperlink ref="D5" r:id="rId2" xr:uid="{00000000-0004-0000-0400-000001000000}"/>
    <hyperlink ref="D7" r:id="rId3" xr:uid="{00000000-0004-0000-0400-000002000000}"/>
    <hyperlink ref="D10" r:id="rId4" xr:uid="{00000000-0004-0000-0400-000003000000}"/>
    <hyperlink ref="D32" r:id="rId5" xr:uid="{00000000-0004-0000-0400-000004000000}"/>
    <hyperlink ref="D33" r:id="rId6" xr:uid="{00000000-0004-0000-0400-000005000000}"/>
    <hyperlink ref="D34" r:id="rId7" xr:uid="{00000000-0004-0000-0400-000006000000}"/>
    <hyperlink ref="D35" r:id="rId8" xr:uid="{00000000-0004-0000-0400-000007000000}"/>
    <hyperlink ref="D61" r:id="rId9" xr:uid="{00000000-0004-0000-0400-000008000000}"/>
    <hyperlink ref="D65" r:id="rId10" xr:uid="{00000000-0004-0000-0400-000009000000}"/>
    <hyperlink ref="D66" r:id="rId11" xr:uid="{00000000-0004-0000-0400-00000A000000}"/>
    <hyperlink ref="D68" r:id="rId12" xr:uid="{00000000-0004-0000-0400-00000B000000}"/>
    <hyperlink ref="D71" r:id="rId13" xr:uid="{00000000-0004-0000-0400-00000C000000}"/>
    <hyperlink ref="D73" r:id="rId14" xr:uid="{00000000-0004-0000-0400-00000D000000}"/>
    <hyperlink ref="D75" r:id="rId15" xr:uid="{00000000-0004-0000-0400-00000E000000}"/>
    <hyperlink ref="D78" r:id="rId16" xr:uid="{00000000-0004-0000-0400-00000F000000}"/>
    <hyperlink ref="D81" r:id="rId17" xr:uid="{00000000-0004-0000-0400-000010000000}"/>
    <hyperlink ref="D86" r:id="rId18" xr:uid="{00000000-0004-0000-0400-000011000000}"/>
    <hyperlink ref="D87" r:id="rId19" xr:uid="{00000000-0004-0000-0400-000012000000}"/>
    <hyperlink ref="D93" r:id="rId20" xr:uid="{00000000-0004-0000-0400-000013000000}"/>
    <hyperlink ref="D94" r:id="rId21" xr:uid="{00000000-0004-0000-0400-000014000000}"/>
    <hyperlink ref="D96" r:id="rId22" xr:uid="{00000000-0004-0000-0400-000015000000}"/>
    <hyperlink ref="D98" r:id="rId23" xr:uid="{00000000-0004-0000-0400-000016000000}"/>
    <hyperlink ref="D107" r:id="rId24" xr:uid="{00000000-0004-0000-0400-000017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5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2.75" customHeight="1" x14ac:dyDescent="0.2"/>
  <cols>
    <col min="1" max="1" width="22.42578125" customWidth="1"/>
    <col min="2" max="2" width="11.5703125" customWidth="1"/>
    <col min="3" max="3" width="4.140625" customWidth="1"/>
    <col min="4" max="4" width="20.28515625" customWidth="1"/>
    <col min="5" max="5" width="14.140625" customWidth="1"/>
    <col min="6" max="6" width="41" customWidth="1"/>
    <col min="7" max="7" width="15.140625" customWidth="1"/>
    <col min="8" max="8" width="24" customWidth="1"/>
  </cols>
  <sheetData>
    <row r="1" spans="1:8" ht="12.75" customHeight="1" x14ac:dyDescent="0.2">
      <c r="A1" s="60" t="s">
        <v>885</v>
      </c>
      <c r="B1" s="61" t="s">
        <v>1049</v>
      </c>
      <c r="C1" s="60" t="s">
        <v>1050</v>
      </c>
      <c r="D1" s="60" t="s">
        <v>1051</v>
      </c>
      <c r="E1" s="60" t="s">
        <v>1052</v>
      </c>
      <c r="F1" s="62" t="s">
        <v>1053</v>
      </c>
      <c r="G1" s="62" t="s">
        <v>940</v>
      </c>
      <c r="H1" s="62" t="s">
        <v>1054</v>
      </c>
    </row>
    <row r="2" spans="1:8" ht="12.75" customHeight="1" x14ac:dyDescent="0.2">
      <c r="A2" s="63" t="s">
        <v>1055</v>
      </c>
      <c r="B2" s="64"/>
      <c r="F2" s="65"/>
      <c r="G2" s="65"/>
      <c r="H2" s="65"/>
    </row>
    <row r="3" spans="1:8" ht="12.75" customHeight="1" x14ac:dyDescent="0.2">
      <c r="A3" s="15" t="s">
        <v>1056</v>
      </c>
      <c r="B3" s="66">
        <v>41221</v>
      </c>
      <c r="C3" s="15">
        <v>1</v>
      </c>
      <c r="D3" s="15" t="s">
        <v>888</v>
      </c>
      <c r="E3" s="67">
        <v>41232</v>
      </c>
      <c r="F3" s="65" t="s">
        <v>1057</v>
      </c>
      <c r="G3" s="68" t="s">
        <v>1058</v>
      </c>
      <c r="H3" s="65"/>
    </row>
    <row r="4" spans="1:8" ht="12.75" customHeight="1" x14ac:dyDescent="0.2">
      <c r="A4" s="15" t="s">
        <v>1059</v>
      </c>
      <c r="B4" s="66">
        <v>41226</v>
      </c>
      <c r="C4" s="15">
        <v>5</v>
      </c>
      <c r="D4" s="15" t="s">
        <v>1060</v>
      </c>
      <c r="E4" s="67">
        <v>41232</v>
      </c>
      <c r="F4" s="65" t="s">
        <v>1061</v>
      </c>
      <c r="G4" s="68" t="s">
        <v>1062</v>
      </c>
      <c r="H4" s="65"/>
    </row>
    <row r="5" spans="1:8" ht="12.75" customHeight="1" x14ac:dyDescent="0.2">
      <c r="A5" s="15" t="s">
        <v>1063</v>
      </c>
      <c r="B5" s="66">
        <v>41226</v>
      </c>
      <c r="C5" s="15">
        <v>1</v>
      </c>
      <c r="D5" s="15" t="s">
        <v>888</v>
      </c>
      <c r="E5" s="67">
        <v>41232</v>
      </c>
      <c r="F5" s="65" t="s">
        <v>1057</v>
      </c>
      <c r="G5" s="68" t="s">
        <v>1064</v>
      </c>
      <c r="H5" s="65"/>
    </row>
    <row r="6" spans="1:8" ht="12.75" customHeight="1" x14ac:dyDescent="0.2">
      <c r="A6" s="15" t="s">
        <v>1065</v>
      </c>
      <c r="B6" s="66">
        <v>41226</v>
      </c>
      <c r="C6" s="15">
        <v>1</v>
      </c>
      <c r="D6" s="15" t="s">
        <v>888</v>
      </c>
      <c r="E6" s="67">
        <v>41232</v>
      </c>
      <c r="F6" s="65" t="s">
        <v>1057</v>
      </c>
      <c r="G6" s="68" t="s">
        <v>1066</v>
      </c>
      <c r="H6" s="65"/>
    </row>
    <row r="7" spans="1:8" ht="12.75" customHeight="1" x14ac:dyDescent="0.2">
      <c r="A7" s="15" t="s">
        <v>1067</v>
      </c>
      <c r="B7" s="66">
        <v>41227</v>
      </c>
      <c r="C7" s="15">
        <v>1</v>
      </c>
      <c r="D7" s="15" t="s">
        <v>888</v>
      </c>
      <c r="E7" s="67">
        <v>41232</v>
      </c>
      <c r="F7" s="65" t="s">
        <v>1057</v>
      </c>
      <c r="G7" s="68" t="s">
        <v>1068</v>
      </c>
      <c r="H7" s="65"/>
    </row>
    <row r="8" spans="1:8" ht="12.75" customHeight="1" x14ac:dyDescent="0.2">
      <c r="A8" s="15" t="s">
        <v>1069</v>
      </c>
      <c r="B8" s="66">
        <v>41233</v>
      </c>
      <c r="C8" s="15">
        <v>14</v>
      </c>
      <c r="D8" s="15" t="s">
        <v>1060</v>
      </c>
      <c r="E8" s="67">
        <v>41232</v>
      </c>
      <c r="F8" s="65" t="s">
        <v>1070</v>
      </c>
      <c r="G8" s="68" t="s">
        <v>1071</v>
      </c>
      <c r="H8" s="65"/>
    </row>
    <row r="9" spans="1:8" ht="12.75" customHeight="1" x14ac:dyDescent="0.2">
      <c r="A9" s="15" t="s">
        <v>1072</v>
      </c>
      <c r="B9" s="66">
        <v>41227</v>
      </c>
      <c r="C9" s="15">
        <v>7</v>
      </c>
      <c r="D9" s="15" t="s">
        <v>1060</v>
      </c>
      <c r="E9" s="67">
        <v>41233</v>
      </c>
      <c r="F9" s="65" t="s">
        <v>1070</v>
      </c>
      <c r="G9" s="68" t="s">
        <v>1073</v>
      </c>
      <c r="H9" s="65"/>
    </row>
    <row r="10" spans="1:8" ht="12.75" customHeight="1" x14ac:dyDescent="0.2">
      <c r="A10" s="15" t="s">
        <v>1074</v>
      </c>
      <c r="B10" s="66">
        <v>41234</v>
      </c>
      <c r="C10" s="15">
        <v>2</v>
      </c>
      <c r="D10" s="15" t="s">
        <v>1075</v>
      </c>
      <c r="E10" s="67">
        <v>41239</v>
      </c>
      <c r="F10" s="65" t="s">
        <v>1061</v>
      </c>
      <c r="G10" s="68" t="s">
        <v>1076</v>
      </c>
      <c r="H10" s="65" t="s">
        <v>1077</v>
      </c>
    </row>
    <row r="11" spans="1:8" ht="12.75" customHeight="1" x14ac:dyDescent="0.2">
      <c r="A11" s="15" t="s">
        <v>1078</v>
      </c>
      <c r="B11" s="66">
        <v>41234</v>
      </c>
      <c r="C11" s="15">
        <v>4</v>
      </c>
      <c r="D11" s="15" t="s">
        <v>1060</v>
      </c>
      <c r="E11" s="67">
        <v>41239</v>
      </c>
      <c r="F11" s="65" t="s">
        <v>1070</v>
      </c>
      <c r="G11" s="68" t="s">
        <v>1079</v>
      </c>
      <c r="H11" s="65"/>
    </row>
    <row r="12" spans="1:8" ht="12.75" customHeight="1" x14ac:dyDescent="0.2">
      <c r="A12" s="15" t="s">
        <v>1080</v>
      </c>
      <c r="B12" s="66">
        <v>41229</v>
      </c>
      <c r="C12" s="15">
        <v>1</v>
      </c>
      <c r="D12" s="15" t="s">
        <v>888</v>
      </c>
      <c r="E12" s="67">
        <v>41239</v>
      </c>
      <c r="F12" s="65" t="s">
        <v>1057</v>
      </c>
      <c r="G12" s="68" t="s">
        <v>1081</v>
      </c>
      <c r="H12" s="65"/>
    </row>
    <row r="13" spans="1:8" ht="12.75" customHeight="1" x14ac:dyDescent="0.2">
      <c r="A13" s="15" t="s">
        <v>1082</v>
      </c>
      <c r="B13" s="66">
        <v>41232</v>
      </c>
      <c r="C13" s="15">
        <v>6</v>
      </c>
      <c r="D13" s="15" t="s">
        <v>1060</v>
      </c>
      <c r="E13" s="67">
        <v>41239</v>
      </c>
      <c r="F13" s="65" t="s">
        <v>1070</v>
      </c>
      <c r="G13" s="68" t="s">
        <v>1083</v>
      </c>
      <c r="H13" s="65"/>
    </row>
    <row r="14" spans="1:8" ht="12.75" customHeight="1" x14ac:dyDescent="0.2">
      <c r="A14" s="15" t="s">
        <v>1084</v>
      </c>
      <c r="B14" s="66">
        <v>41233</v>
      </c>
      <c r="C14" s="15">
        <v>2</v>
      </c>
      <c r="D14" s="15" t="s">
        <v>1085</v>
      </c>
      <c r="E14" s="67">
        <v>41239</v>
      </c>
      <c r="F14" s="65" t="s">
        <v>1086</v>
      </c>
      <c r="G14" s="68" t="s">
        <v>1087</v>
      </c>
      <c r="H14" s="65"/>
    </row>
    <row r="15" spans="1:8" ht="12.75" customHeight="1" x14ac:dyDescent="0.2">
      <c r="A15" s="15" t="s">
        <v>1088</v>
      </c>
      <c r="B15" s="66">
        <v>41233</v>
      </c>
      <c r="C15" s="15">
        <v>2</v>
      </c>
      <c r="D15" s="15" t="s">
        <v>1060</v>
      </c>
      <c r="E15" s="67">
        <v>41239</v>
      </c>
      <c r="F15" s="65" t="s">
        <v>1061</v>
      </c>
      <c r="G15" s="68" t="s">
        <v>1089</v>
      </c>
      <c r="H15" s="65"/>
    </row>
    <row r="16" spans="1:8" ht="12.75" customHeight="1" x14ac:dyDescent="0.2">
      <c r="A16" s="15" t="s">
        <v>1090</v>
      </c>
      <c r="B16" s="66">
        <v>41240</v>
      </c>
      <c r="C16" s="15">
        <v>8</v>
      </c>
      <c r="D16" s="15" t="s">
        <v>1050</v>
      </c>
      <c r="E16" s="67">
        <v>41242</v>
      </c>
      <c r="F16" s="65" t="s">
        <v>1061</v>
      </c>
      <c r="G16" s="68" t="s">
        <v>1091</v>
      </c>
      <c r="H16" s="65" t="s">
        <v>1092</v>
      </c>
    </row>
    <row r="17" spans="1:8" ht="12.75" customHeight="1" x14ac:dyDescent="0.2">
      <c r="A17" s="15" t="s">
        <v>1093</v>
      </c>
      <c r="B17" s="66">
        <v>41239</v>
      </c>
      <c r="C17" s="15">
        <v>2</v>
      </c>
      <c r="D17" s="15" t="s">
        <v>1060</v>
      </c>
      <c r="E17" s="67">
        <v>41242</v>
      </c>
      <c r="F17" s="65" t="s">
        <v>1061</v>
      </c>
      <c r="G17" s="68" t="s">
        <v>1094</v>
      </c>
      <c r="H17" s="65" t="s">
        <v>1092</v>
      </c>
    </row>
    <row r="18" spans="1:8" ht="12.75" customHeight="1" x14ac:dyDescent="0.2">
      <c r="A18" s="15" t="s">
        <v>1095</v>
      </c>
      <c r="B18" s="66">
        <v>41241</v>
      </c>
      <c r="C18" s="15">
        <v>1</v>
      </c>
      <c r="D18" s="15" t="s">
        <v>888</v>
      </c>
      <c r="E18" s="67">
        <v>41246</v>
      </c>
      <c r="F18" s="65" t="s">
        <v>1057</v>
      </c>
      <c r="G18" s="68" t="s">
        <v>1096</v>
      </c>
      <c r="H18" s="65" t="s">
        <v>1097</v>
      </c>
    </row>
    <row r="19" spans="1:8" ht="12.75" customHeight="1" x14ac:dyDescent="0.2">
      <c r="A19" s="15" t="s">
        <v>1098</v>
      </c>
      <c r="B19" s="66">
        <v>41241</v>
      </c>
      <c r="C19" s="15">
        <v>1</v>
      </c>
      <c r="D19" s="15" t="s">
        <v>888</v>
      </c>
      <c r="E19" s="67">
        <v>41246</v>
      </c>
      <c r="F19" s="65" t="s">
        <v>1057</v>
      </c>
      <c r="G19" s="68" t="s">
        <v>1099</v>
      </c>
      <c r="H19" s="65" t="s">
        <v>1097</v>
      </c>
    </row>
    <row r="20" spans="1:8" ht="12.75" customHeight="1" x14ac:dyDescent="0.2">
      <c r="A20" s="15" t="s">
        <v>1100</v>
      </c>
      <c r="B20" s="66">
        <v>41242</v>
      </c>
      <c r="C20" s="15">
        <v>8</v>
      </c>
      <c r="D20" s="15" t="s">
        <v>1060</v>
      </c>
      <c r="E20" s="67">
        <v>41246</v>
      </c>
      <c r="F20" s="65" t="s">
        <v>1101</v>
      </c>
      <c r="G20" s="68" t="s">
        <v>1102</v>
      </c>
      <c r="H20" s="65" t="s">
        <v>1092</v>
      </c>
    </row>
    <row r="21" spans="1:8" ht="12.75" customHeight="1" x14ac:dyDescent="0.2">
      <c r="A21" s="15" t="s">
        <v>1103</v>
      </c>
      <c r="B21" s="66">
        <v>41239</v>
      </c>
      <c r="C21" s="15">
        <v>6</v>
      </c>
      <c r="D21" s="15" t="s">
        <v>1060</v>
      </c>
      <c r="E21" s="67">
        <v>41246</v>
      </c>
      <c r="F21" s="65" t="s">
        <v>1070</v>
      </c>
      <c r="G21" s="68" t="s">
        <v>1104</v>
      </c>
      <c r="H21" s="65" t="s">
        <v>1092</v>
      </c>
    </row>
    <row r="22" spans="1:8" ht="12.75" customHeight="1" x14ac:dyDescent="0.2">
      <c r="A22" s="15" t="s">
        <v>1105</v>
      </c>
      <c r="B22" s="66">
        <v>41243</v>
      </c>
      <c r="C22" s="15">
        <v>4</v>
      </c>
      <c r="D22" s="15" t="s">
        <v>1106</v>
      </c>
      <c r="E22" s="67">
        <v>41246</v>
      </c>
      <c r="F22" s="65" t="s">
        <v>1107</v>
      </c>
      <c r="G22" s="68" t="s">
        <v>1108</v>
      </c>
      <c r="H22" s="65" t="s">
        <v>1109</v>
      </c>
    </row>
    <row r="23" spans="1:8" ht="12.75" customHeight="1" x14ac:dyDescent="0.2">
      <c r="A23" s="15" t="s">
        <v>1110</v>
      </c>
      <c r="B23" s="66">
        <v>41240</v>
      </c>
      <c r="C23" s="15">
        <v>4</v>
      </c>
      <c r="D23" s="15" t="s">
        <v>1060</v>
      </c>
      <c r="E23" s="67">
        <v>41246</v>
      </c>
      <c r="F23" s="65" t="s">
        <v>1111</v>
      </c>
      <c r="G23" s="68" t="s">
        <v>1112</v>
      </c>
      <c r="H23" s="65"/>
    </row>
    <row r="24" spans="1:8" ht="12.75" customHeight="1" x14ac:dyDescent="0.2">
      <c r="A24" s="15" t="s">
        <v>1113</v>
      </c>
      <c r="B24" s="66">
        <v>41246</v>
      </c>
      <c r="C24" s="15">
        <v>9</v>
      </c>
      <c r="D24" s="15" t="s">
        <v>1060</v>
      </c>
      <c r="E24" s="67">
        <v>41247</v>
      </c>
      <c r="F24" s="65" t="s">
        <v>1070</v>
      </c>
      <c r="G24" s="68" t="s">
        <v>1114</v>
      </c>
      <c r="H24" s="65" t="s">
        <v>1092</v>
      </c>
    </row>
    <row r="25" spans="1:8" ht="12.75" customHeight="1" x14ac:dyDescent="0.2">
      <c r="A25" s="15" t="s">
        <v>1115</v>
      </c>
      <c r="B25" s="66">
        <v>41242</v>
      </c>
      <c r="C25" s="15">
        <v>4</v>
      </c>
      <c r="D25" s="15" t="s">
        <v>1060</v>
      </c>
      <c r="E25" s="67">
        <v>41248</v>
      </c>
      <c r="F25" s="65" t="s">
        <v>1070</v>
      </c>
      <c r="G25" s="68" t="s">
        <v>1116</v>
      </c>
      <c r="H25" s="65" t="s">
        <v>1092</v>
      </c>
    </row>
    <row r="26" spans="1:8" ht="12.75" customHeight="1" x14ac:dyDescent="0.2">
      <c r="A26" s="69" t="s">
        <v>1117</v>
      </c>
      <c r="B26" s="66">
        <v>41233</v>
      </c>
      <c r="C26" s="15">
        <v>27</v>
      </c>
      <c r="D26" s="15" t="s">
        <v>1060</v>
      </c>
      <c r="E26" s="70">
        <v>41249</v>
      </c>
      <c r="F26" s="65" t="s">
        <v>1111</v>
      </c>
      <c r="G26" s="68" t="s">
        <v>1118</v>
      </c>
      <c r="H26" s="65"/>
    </row>
    <row r="27" spans="1:8" ht="12.75" customHeight="1" x14ac:dyDescent="0.2">
      <c r="A27" s="69" t="s">
        <v>1119</v>
      </c>
      <c r="B27" s="66">
        <v>41249</v>
      </c>
      <c r="C27" s="15">
        <v>7</v>
      </c>
      <c r="D27" s="15" t="s">
        <v>1060</v>
      </c>
      <c r="E27" s="67">
        <v>41250</v>
      </c>
      <c r="F27" s="65" t="s">
        <v>1070</v>
      </c>
      <c r="G27" s="68" t="s">
        <v>1120</v>
      </c>
      <c r="H27" s="65"/>
    </row>
    <row r="28" spans="1:8" ht="12.75" customHeight="1" x14ac:dyDescent="0.2">
      <c r="A28" s="15" t="s">
        <v>1121</v>
      </c>
      <c r="B28" s="66">
        <v>41256</v>
      </c>
      <c r="C28" s="15">
        <v>13</v>
      </c>
      <c r="D28" s="15" t="s">
        <v>1060</v>
      </c>
      <c r="E28" s="67">
        <v>41254</v>
      </c>
      <c r="F28" s="65" t="s">
        <v>1070</v>
      </c>
      <c r="G28" s="68" t="s">
        <v>1122</v>
      </c>
      <c r="H28" s="65" t="s">
        <v>1092</v>
      </c>
    </row>
    <row r="29" spans="1:8" ht="12.75" customHeight="1" x14ac:dyDescent="0.2">
      <c r="A29" s="69" t="s">
        <v>1123</v>
      </c>
      <c r="B29" s="66">
        <v>41249</v>
      </c>
      <c r="C29" s="15">
        <v>5</v>
      </c>
      <c r="D29" s="15" t="s">
        <v>1060</v>
      </c>
      <c r="E29" s="71">
        <v>41254</v>
      </c>
      <c r="F29" s="65" t="s">
        <v>1111</v>
      </c>
      <c r="G29" s="68" t="s">
        <v>1124</v>
      </c>
      <c r="H29" s="72"/>
    </row>
    <row r="30" spans="1:8" ht="12.75" customHeight="1" x14ac:dyDescent="0.2">
      <c r="A30" s="69" t="s">
        <v>1047</v>
      </c>
      <c r="B30" s="66">
        <v>41239</v>
      </c>
      <c r="C30" s="15">
        <v>4</v>
      </c>
      <c r="D30" s="15" t="s">
        <v>1060</v>
      </c>
      <c r="E30" s="70">
        <v>41254</v>
      </c>
      <c r="F30" s="65" t="s">
        <v>1111</v>
      </c>
      <c r="G30" s="68" t="s">
        <v>1125</v>
      </c>
      <c r="H30" s="65"/>
    </row>
    <row r="31" spans="1:8" ht="12.75" customHeight="1" x14ac:dyDescent="0.2">
      <c r="A31" s="69" t="s">
        <v>1126</v>
      </c>
      <c r="B31" s="66">
        <v>41245</v>
      </c>
      <c r="C31" s="15">
        <v>18</v>
      </c>
      <c r="D31" s="15" t="s">
        <v>1060</v>
      </c>
      <c r="E31" s="70">
        <v>41255</v>
      </c>
      <c r="F31" s="65" t="s">
        <v>1111</v>
      </c>
      <c r="G31" s="68" t="s">
        <v>1127</v>
      </c>
      <c r="H31" s="65"/>
    </row>
    <row r="32" spans="1:8" ht="12.75" customHeight="1" x14ac:dyDescent="0.2">
      <c r="A32" s="15" t="s">
        <v>1128</v>
      </c>
      <c r="B32" s="66">
        <v>41240</v>
      </c>
      <c r="C32" s="15">
        <v>8</v>
      </c>
      <c r="D32" s="15" t="s">
        <v>1060</v>
      </c>
      <c r="E32" s="67">
        <v>41255</v>
      </c>
      <c r="F32" s="65" t="s">
        <v>1070</v>
      </c>
      <c r="G32" s="68" t="s">
        <v>1129</v>
      </c>
      <c r="H32" s="65" t="s">
        <v>1092</v>
      </c>
    </row>
    <row r="33" spans="1:8" ht="12.75" customHeight="1" x14ac:dyDescent="0.2">
      <c r="A33" s="15" t="s">
        <v>1130</v>
      </c>
      <c r="B33" s="66">
        <v>41239</v>
      </c>
      <c r="C33" s="15">
        <v>9</v>
      </c>
      <c r="D33" s="15" t="s">
        <v>1060</v>
      </c>
      <c r="E33" s="67">
        <v>41257</v>
      </c>
      <c r="F33" s="65" t="s">
        <v>1086</v>
      </c>
      <c r="G33" s="68" t="s">
        <v>1131</v>
      </c>
      <c r="H33" s="65" t="s">
        <v>1092</v>
      </c>
    </row>
    <row r="34" spans="1:8" ht="12.75" customHeight="1" x14ac:dyDescent="0.2">
      <c r="A34" s="15" t="s">
        <v>1132</v>
      </c>
      <c r="B34" s="66">
        <v>41257</v>
      </c>
      <c r="C34" s="15">
        <v>53</v>
      </c>
      <c r="D34" s="15" t="s">
        <v>1133</v>
      </c>
      <c r="E34" s="70">
        <v>41260</v>
      </c>
      <c r="F34" s="65" t="s">
        <v>1134</v>
      </c>
      <c r="G34" s="68" t="s">
        <v>1135</v>
      </c>
      <c r="H34" s="65"/>
    </row>
    <row r="35" spans="1:8" ht="12.75" customHeight="1" x14ac:dyDescent="0.2">
      <c r="A35" s="15" t="s">
        <v>1136</v>
      </c>
      <c r="B35" s="66">
        <v>41250</v>
      </c>
      <c r="C35" s="15">
        <v>3</v>
      </c>
      <c r="D35" s="15" t="s">
        <v>1060</v>
      </c>
      <c r="E35" s="70">
        <v>41260</v>
      </c>
      <c r="F35" s="65" t="s">
        <v>1070</v>
      </c>
      <c r="G35" s="68" t="s">
        <v>1137</v>
      </c>
      <c r="H35" s="65" t="s">
        <v>1092</v>
      </c>
    </row>
    <row r="36" spans="1:8" ht="12.75" customHeight="1" x14ac:dyDescent="0.2">
      <c r="A36" s="15" t="s">
        <v>1138</v>
      </c>
      <c r="B36" s="66">
        <v>41239</v>
      </c>
      <c r="C36" s="15">
        <v>11</v>
      </c>
      <c r="D36" s="15" t="s">
        <v>1050</v>
      </c>
      <c r="E36" s="70">
        <v>41260</v>
      </c>
      <c r="F36" s="65" t="s">
        <v>1070</v>
      </c>
      <c r="G36" s="68" t="s">
        <v>1139</v>
      </c>
      <c r="H36" s="65" t="s">
        <v>1077</v>
      </c>
    </row>
    <row r="37" spans="1:8" ht="12.75" customHeight="1" x14ac:dyDescent="0.2">
      <c r="A37" s="15" t="s">
        <v>1140</v>
      </c>
      <c r="B37" s="66">
        <v>41249</v>
      </c>
      <c r="C37" s="15">
        <v>10</v>
      </c>
      <c r="D37" s="15" t="s">
        <v>1050</v>
      </c>
      <c r="E37" s="70">
        <v>41260</v>
      </c>
      <c r="F37" s="65" t="s">
        <v>1141</v>
      </c>
      <c r="G37" s="68" t="s">
        <v>1142</v>
      </c>
      <c r="H37" s="65" t="s">
        <v>1077</v>
      </c>
    </row>
    <row r="38" spans="1:8" ht="12.75" customHeight="1" x14ac:dyDescent="0.2">
      <c r="A38" s="15" t="s">
        <v>1143</v>
      </c>
      <c r="B38" s="66">
        <v>41260</v>
      </c>
      <c r="C38" s="15">
        <v>3</v>
      </c>
      <c r="D38" s="15" t="s">
        <v>1106</v>
      </c>
      <c r="E38" s="67">
        <v>41261</v>
      </c>
      <c r="F38" s="65" t="s">
        <v>1107</v>
      </c>
      <c r="G38" s="68" t="s">
        <v>1144</v>
      </c>
      <c r="H38" s="65" t="s">
        <v>1109</v>
      </c>
    </row>
    <row r="39" spans="1:8" ht="12.75" customHeight="1" x14ac:dyDescent="0.2">
      <c r="A39" s="73" t="s">
        <v>1145</v>
      </c>
      <c r="B39" s="66">
        <v>41244</v>
      </c>
      <c r="C39" s="15">
        <v>4</v>
      </c>
      <c r="D39" s="15" t="s">
        <v>1060</v>
      </c>
      <c r="E39" s="67">
        <v>41262</v>
      </c>
      <c r="F39" s="65" t="s">
        <v>1070</v>
      </c>
      <c r="G39" s="68" t="s">
        <v>1146</v>
      </c>
      <c r="H39" s="65"/>
    </row>
    <row r="40" spans="1:8" ht="12.75" customHeight="1" x14ac:dyDescent="0.2">
      <c r="A40" s="73" t="s">
        <v>1147</v>
      </c>
      <c r="B40" s="66">
        <v>41239</v>
      </c>
      <c r="C40" s="15">
        <v>14</v>
      </c>
      <c r="D40" s="15" t="s">
        <v>1060</v>
      </c>
      <c r="E40" s="70">
        <v>41277</v>
      </c>
      <c r="F40" s="65" t="s">
        <v>1111</v>
      </c>
      <c r="G40" s="68" t="s">
        <v>1148</v>
      </c>
      <c r="H40" s="65"/>
    </row>
    <row r="41" spans="1:8" ht="12.75" customHeight="1" x14ac:dyDescent="0.2">
      <c r="A41" s="69" t="s">
        <v>1149</v>
      </c>
      <c r="B41" s="66">
        <v>41232</v>
      </c>
      <c r="C41" s="15">
        <v>9</v>
      </c>
      <c r="D41" s="15" t="s">
        <v>1060</v>
      </c>
      <c r="E41" s="70">
        <v>41283</v>
      </c>
      <c r="F41" s="65" t="s">
        <v>1111</v>
      </c>
      <c r="G41" s="68" t="s">
        <v>1150</v>
      </c>
      <c r="H41" s="65"/>
    </row>
    <row r="42" spans="1:8" ht="12.75" customHeight="1" x14ac:dyDescent="0.2">
      <c r="A42" s="69" t="s">
        <v>1151</v>
      </c>
      <c r="B42" s="66">
        <v>41248</v>
      </c>
      <c r="C42" s="15">
        <v>8</v>
      </c>
      <c r="D42" s="15" t="s">
        <v>1060</v>
      </c>
      <c r="E42" s="71">
        <v>41288</v>
      </c>
      <c r="F42" s="65" t="s">
        <v>1111</v>
      </c>
      <c r="G42" s="68" t="s">
        <v>1152</v>
      </c>
      <c r="H42" s="65"/>
    </row>
    <row r="43" spans="1:8" ht="12.75" customHeight="1" x14ac:dyDescent="0.2">
      <c r="A43" s="74" t="s">
        <v>1153</v>
      </c>
      <c r="B43" s="66">
        <v>41250</v>
      </c>
      <c r="C43" s="15">
        <v>16</v>
      </c>
      <c r="D43" s="15" t="s">
        <v>1060</v>
      </c>
      <c r="E43" s="71">
        <v>41317</v>
      </c>
      <c r="F43" s="65" t="s">
        <v>1111</v>
      </c>
      <c r="G43" s="65"/>
      <c r="H43" s="65"/>
    </row>
    <row r="44" spans="1:8" ht="12.75" customHeight="1" x14ac:dyDescent="0.2">
      <c r="B44" s="75"/>
      <c r="F44" s="65"/>
      <c r="G44" s="65"/>
      <c r="H44" s="65"/>
    </row>
    <row r="45" spans="1:8" ht="12.75" customHeight="1" x14ac:dyDescent="0.2">
      <c r="B45" s="75"/>
      <c r="F45" s="65"/>
      <c r="G45" s="65"/>
      <c r="H45" s="65"/>
    </row>
    <row r="46" spans="1:8" ht="12.75" customHeight="1" x14ac:dyDescent="0.2">
      <c r="B46" s="75"/>
      <c r="F46" s="65"/>
      <c r="G46" s="65"/>
      <c r="H46" s="65"/>
    </row>
    <row r="47" spans="1:8" x14ac:dyDescent="0.2">
      <c r="B47" s="75"/>
      <c r="F47" s="65"/>
      <c r="G47" s="65"/>
      <c r="H47" s="65"/>
    </row>
    <row r="48" spans="1:8" x14ac:dyDescent="0.2">
      <c r="A48" s="63" t="s">
        <v>1154</v>
      </c>
      <c r="B48" s="75"/>
      <c r="F48" s="65"/>
      <c r="G48" s="65"/>
      <c r="H48" s="65"/>
    </row>
    <row r="49" spans="1:8" x14ac:dyDescent="0.2">
      <c r="A49" s="73" t="s">
        <v>1155</v>
      </c>
      <c r="B49" s="66">
        <v>41241</v>
      </c>
      <c r="C49" s="15">
        <v>7</v>
      </c>
      <c r="D49" s="15" t="s">
        <v>1060</v>
      </c>
      <c r="E49" s="76">
        <v>41277</v>
      </c>
      <c r="F49" s="65" t="s">
        <v>1111</v>
      </c>
      <c r="G49" s="68" t="s">
        <v>1156</v>
      </c>
      <c r="H49" s="65" t="s">
        <v>1157</v>
      </c>
    </row>
    <row r="50" spans="1:8" x14ac:dyDescent="0.2">
      <c r="A50" s="73" t="s">
        <v>1158</v>
      </c>
      <c r="B50" s="66">
        <v>41239</v>
      </c>
      <c r="C50" s="15">
        <v>18</v>
      </c>
      <c r="D50" s="15" t="s">
        <v>1060</v>
      </c>
      <c r="E50" s="77">
        <v>41288</v>
      </c>
      <c r="F50" s="65" t="s">
        <v>1111</v>
      </c>
      <c r="G50" s="68" t="s">
        <v>1159</v>
      </c>
      <c r="H50" s="65" t="s">
        <v>1160</v>
      </c>
    </row>
    <row r="51" spans="1:8" x14ac:dyDescent="0.2">
      <c r="A51" s="73" t="s">
        <v>1161</v>
      </c>
      <c r="B51" s="66">
        <v>41249</v>
      </c>
      <c r="C51" s="15">
        <v>36</v>
      </c>
      <c r="D51" s="15" t="s">
        <v>1060</v>
      </c>
      <c r="E51" s="77">
        <v>41283</v>
      </c>
      <c r="F51" s="65" t="s">
        <v>1111</v>
      </c>
      <c r="G51" s="68" t="s">
        <v>1162</v>
      </c>
      <c r="H51" s="65" t="s">
        <v>1163</v>
      </c>
    </row>
    <row r="52" spans="1:8" x14ac:dyDescent="0.2">
      <c r="A52" s="69" t="s">
        <v>1164</v>
      </c>
      <c r="B52" s="66">
        <v>41274</v>
      </c>
      <c r="C52" s="15">
        <v>27</v>
      </c>
      <c r="D52" s="15" t="s">
        <v>1060</v>
      </c>
      <c r="E52" s="77">
        <v>41284</v>
      </c>
      <c r="F52" s="65" t="s">
        <v>1111</v>
      </c>
      <c r="G52" s="68" t="s">
        <v>1165</v>
      </c>
      <c r="H52" s="65" t="s">
        <v>1166</v>
      </c>
    </row>
    <row r="53" spans="1:8" x14ac:dyDescent="0.2">
      <c r="B53" s="75"/>
      <c r="F53" s="65"/>
      <c r="G53" s="65"/>
      <c r="H53" s="65"/>
    </row>
    <row r="54" spans="1:8" x14ac:dyDescent="0.2">
      <c r="A54" s="63" t="s">
        <v>1167</v>
      </c>
      <c r="B54" s="75"/>
      <c r="F54" s="65"/>
      <c r="G54" s="65"/>
      <c r="H54" s="65"/>
    </row>
    <row r="55" spans="1:8" x14ac:dyDescent="0.2">
      <c r="A55" s="15" t="s">
        <v>1168</v>
      </c>
      <c r="B55" s="66">
        <v>41239</v>
      </c>
      <c r="C55" s="15">
        <v>2</v>
      </c>
      <c r="D55" s="15" t="s">
        <v>1050</v>
      </c>
      <c r="F55" s="65"/>
      <c r="G55" s="68" t="s">
        <v>1169</v>
      </c>
      <c r="H55" s="65" t="s">
        <v>1092</v>
      </c>
    </row>
    <row r="56" spans="1:8" x14ac:dyDescent="0.2">
      <c r="A56" s="69" t="s">
        <v>1170</v>
      </c>
      <c r="B56" s="66">
        <v>41254</v>
      </c>
      <c r="C56" s="15">
        <v>12</v>
      </c>
      <c r="D56" s="15" t="s">
        <v>1171</v>
      </c>
      <c r="F56" s="65"/>
      <c r="G56" s="68" t="s">
        <v>1172</v>
      </c>
      <c r="H56" s="65" t="s">
        <v>1173</v>
      </c>
    </row>
    <row r="57" spans="1:8" x14ac:dyDescent="0.2">
      <c r="A57" s="15" t="s">
        <v>1174</v>
      </c>
      <c r="B57" s="66">
        <v>41246</v>
      </c>
      <c r="C57" s="15">
        <v>3</v>
      </c>
      <c r="D57" s="15" t="s">
        <v>1050</v>
      </c>
      <c r="E57" s="78"/>
      <c r="F57" s="65" t="s">
        <v>1175</v>
      </c>
      <c r="G57" s="65"/>
      <c r="H57" s="65"/>
    </row>
    <row r="58" spans="1:8" x14ac:dyDescent="0.2">
      <c r="A58" s="69" t="s">
        <v>1176</v>
      </c>
      <c r="B58" s="66">
        <v>41241</v>
      </c>
      <c r="C58" s="15">
        <v>5</v>
      </c>
      <c r="D58" s="15" t="s">
        <v>1050</v>
      </c>
      <c r="F58" s="65"/>
      <c r="G58" s="65"/>
      <c r="H58" s="65"/>
    </row>
    <row r="59" spans="1:8" x14ac:dyDescent="0.2">
      <c r="A59" s="15" t="s">
        <v>1177</v>
      </c>
      <c r="B59" s="66">
        <v>41241</v>
      </c>
      <c r="C59" s="15">
        <v>9</v>
      </c>
      <c r="D59" s="15" t="s">
        <v>1171</v>
      </c>
      <c r="F59" s="65"/>
      <c r="G59" s="65"/>
      <c r="H59" s="65" t="s">
        <v>1178</v>
      </c>
    </row>
  </sheetData>
  <hyperlinks>
    <hyperlink ref="G3" r:id="rId1" xr:uid="{00000000-0004-0000-0500-000000000000}"/>
    <hyperlink ref="G4" r:id="rId2" xr:uid="{00000000-0004-0000-0500-000001000000}"/>
    <hyperlink ref="G5" r:id="rId3" xr:uid="{00000000-0004-0000-0500-000002000000}"/>
    <hyperlink ref="G6" r:id="rId4" xr:uid="{00000000-0004-0000-0500-000003000000}"/>
    <hyperlink ref="G7" r:id="rId5" xr:uid="{00000000-0004-0000-0500-000004000000}"/>
    <hyperlink ref="G8" r:id="rId6" xr:uid="{00000000-0004-0000-0500-000005000000}"/>
    <hyperlink ref="G9" r:id="rId7" xr:uid="{00000000-0004-0000-0500-000006000000}"/>
    <hyperlink ref="G10" r:id="rId8" xr:uid="{00000000-0004-0000-0500-000007000000}"/>
    <hyperlink ref="G11" r:id="rId9" xr:uid="{00000000-0004-0000-0500-000008000000}"/>
    <hyperlink ref="G12" r:id="rId10" xr:uid="{00000000-0004-0000-0500-000009000000}"/>
    <hyperlink ref="G13" r:id="rId11" xr:uid="{00000000-0004-0000-0500-00000A000000}"/>
    <hyperlink ref="G14" r:id="rId12" xr:uid="{00000000-0004-0000-0500-00000B000000}"/>
    <hyperlink ref="G15" r:id="rId13" xr:uid="{00000000-0004-0000-0500-00000C000000}"/>
    <hyperlink ref="G16" r:id="rId14" xr:uid="{00000000-0004-0000-0500-00000D000000}"/>
    <hyperlink ref="G17" r:id="rId15" xr:uid="{00000000-0004-0000-0500-00000E000000}"/>
    <hyperlink ref="G18" r:id="rId16" xr:uid="{00000000-0004-0000-0500-00000F000000}"/>
    <hyperlink ref="G19" r:id="rId17" xr:uid="{00000000-0004-0000-0500-000010000000}"/>
    <hyperlink ref="G20" r:id="rId18" xr:uid="{00000000-0004-0000-0500-000011000000}"/>
    <hyperlink ref="G21" r:id="rId19" xr:uid="{00000000-0004-0000-0500-000012000000}"/>
    <hyperlink ref="G22" r:id="rId20" xr:uid="{00000000-0004-0000-0500-000013000000}"/>
    <hyperlink ref="G23" r:id="rId21" xr:uid="{00000000-0004-0000-0500-000014000000}"/>
    <hyperlink ref="G24" r:id="rId22" xr:uid="{00000000-0004-0000-0500-000015000000}"/>
    <hyperlink ref="G25" r:id="rId23" xr:uid="{00000000-0004-0000-0500-000016000000}"/>
    <hyperlink ref="G26" r:id="rId24" xr:uid="{00000000-0004-0000-0500-000017000000}"/>
    <hyperlink ref="G27" r:id="rId25" xr:uid="{00000000-0004-0000-0500-000018000000}"/>
    <hyperlink ref="G28" r:id="rId26" xr:uid="{00000000-0004-0000-0500-000019000000}"/>
    <hyperlink ref="G29" r:id="rId27" xr:uid="{00000000-0004-0000-0500-00001A000000}"/>
    <hyperlink ref="G30" r:id="rId28" xr:uid="{00000000-0004-0000-0500-00001B000000}"/>
    <hyperlink ref="G31" r:id="rId29" xr:uid="{00000000-0004-0000-0500-00001C000000}"/>
    <hyperlink ref="G32" r:id="rId30" xr:uid="{00000000-0004-0000-0500-00001D000000}"/>
    <hyperlink ref="G33" r:id="rId31" xr:uid="{00000000-0004-0000-0500-00001E000000}"/>
    <hyperlink ref="G34" r:id="rId32" xr:uid="{00000000-0004-0000-0500-00001F000000}"/>
    <hyperlink ref="G35" r:id="rId33" xr:uid="{00000000-0004-0000-0500-000020000000}"/>
    <hyperlink ref="G36" r:id="rId34" xr:uid="{00000000-0004-0000-0500-000021000000}"/>
    <hyperlink ref="G37" r:id="rId35" xr:uid="{00000000-0004-0000-0500-000022000000}"/>
    <hyperlink ref="G38" r:id="rId36" xr:uid="{00000000-0004-0000-0500-000023000000}"/>
    <hyperlink ref="G39" r:id="rId37" xr:uid="{00000000-0004-0000-0500-000024000000}"/>
    <hyperlink ref="G40" r:id="rId38" xr:uid="{00000000-0004-0000-0500-000025000000}"/>
    <hyperlink ref="G41" r:id="rId39" xr:uid="{00000000-0004-0000-0500-000026000000}"/>
    <hyperlink ref="G42" r:id="rId40" xr:uid="{00000000-0004-0000-0500-000027000000}"/>
    <hyperlink ref="G49" r:id="rId41" xr:uid="{00000000-0004-0000-0500-000028000000}"/>
    <hyperlink ref="G50" r:id="rId42" xr:uid="{00000000-0004-0000-0500-000029000000}"/>
    <hyperlink ref="G51" r:id="rId43" xr:uid="{00000000-0004-0000-0500-00002A000000}"/>
    <hyperlink ref="G52" r:id="rId44" xr:uid="{00000000-0004-0000-0500-00002B000000}"/>
    <hyperlink ref="G55" r:id="rId45" location="nov" xr:uid="{00000000-0004-0000-0500-00002C000000}"/>
    <hyperlink ref="G56" r:id="rId46" xr:uid="{00000000-0004-0000-0500-00002D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22"/>
  <sheetViews>
    <sheetView workbookViewId="0"/>
  </sheetViews>
  <sheetFormatPr defaultColWidth="12.5703125" defaultRowHeight="12.75" customHeight="1" x14ac:dyDescent="0.2"/>
  <cols>
    <col min="1" max="1" width="92" customWidth="1"/>
  </cols>
  <sheetData>
    <row r="1" spans="1:1" ht="16.5" customHeight="1" x14ac:dyDescent="0.2">
      <c r="A1" s="79" t="s">
        <v>1179</v>
      </c>
    </row>
    <row r="2" spans="1:1" ht="16.5" customHeight="1" x14ac:dyDescent="0.2">
      <c r="A2" s="65"/>
    </row>
    <row r="3" spans="1:1" ht="16.5" customHeight="1" x14ac:dyDescent="0.2">
      <c r="A3" s="80" t="s">
        <v>1180</v>
      </c>
    </row>
    <row r="4" spans="1:1" ht="16.5" customHeight="1" x14ac:dyDescent="0.2">
      <c r="A4" s="65"/>
    </row>
    <row r="5" spans="1:1" ht="16.5" customHeight="1" x14ac:dyDescent="0.2">
      <c r="A5" s="79" t="s">
        <v>1181</v>
      </c>
    </row>
    <row r="6" spans="1:1" ht="16.5" customHeight="1" x14ac:dyDescent="0.2"/>
    <row r="7" spans="1:1" ht="16.5" customHeight="1" x14ac:dyDescent="0.2">
      <c r="A7" s="65" t="s">
        <v>1182</v>
      </c>
    </row>
    <row r="8" spans="1:1" ht="16.5" customHeight="1" x14ac:dyDescent="0.2">
      <c r="A8" s="65"/>
    </row>
    <row r="9" spans="1:1" ht="16.5" customHeight="1" x14ac:dyDescent="0.2">
      <c r="A9" s="65" t="s">
        <v>1183</v>
      </c>
    </row>
    <row r="10" spans="1:1" ht="16.5" customHeight="1" x14ac:dyDescent="0.2">
      <c r="A10" s="65"/>
    </row>
    <row r="11" spans="1:1" ht="16.5" customHeight="1" x14ac:dyDescent="0.2">
      <c r="A11" s="81" t="s">
        <v>1184</v>
      </c>
    </row>
    <row r="12" spans="1:1" ht="16.5" customHeight="1" x14ac:dyDescent="0.2">
      <c r="A12" s="79" t="s">
        <v>1185</v>
      </c>
    </row>
    <row r="13" spans="1:1" ht="16.5" customHeight="1" x14ac:dyDescent="0.2">
      <c r="A13" s="65"/>
    </row>
    <row r="14" spans="1:1" ht="16.5" customHeight="1" x14ac:dyDescent="0.2">
      <c r="A14" s="81" t="s">
        <v>1186</v>
      </c>
    </row>
    <row r="15" spans="1:1" ht="16.5" customHeight="1" x14ac:dyDescent="0.2">
      <c r="A15" s="65" t="s">
        <v>1187</v>
      </c>
    </row>
    <row r="16" spans="1:1" ht="16.5" customHeight="1" x14ac:dyDescent="0.2">
      <c r="A16" s="65" t="s">
        <v>1188</v>
      </c>
    </row>
    <row r="17" spans="1:1" ht="16.5" customHeight="1" x14ac:dyDescent="0.2">
      <c r="A17" s="65" t="s">
        <v>1189</v>
      </c>
    </row>
    <row r="18" spans="1:1" ht="16.5" customHeight="1" x14ac:dyDescent="0.2">
      <c r="A18" s="65" t="s">
        <v>1190</v>
      </c>
    </row>
    <row r="19" spans="1:1" ht="16.5" customHeight="1" x14ac:dyDescent="0.2">
      <c r="A19" s="65" t="s">
        <v>1191</v>
      </c>
    </row>
    <row r="20" spans="1:1" ht="16.5" customHeight="1" x14ac:dyDescent="0.2">
      <c r="A20" s="79" t="s">
        <v>1192</v>
      </c>
    </row>
    <row r="21" spans="1:1" ht="16.5" customHeight="1" x14ac:dyDescent="0.2">
      <c r="A21" s="65"/>
    </row>
    <row r="22" spans="1:1" ht="16.5" customHeight="1" x14ac:dyDescent="0.2">
      <c r="A22" s="65" t="s">
        <v>1193</v>
      </c>
    </row>
  </sheetData>
  <hyperlinks>
    <hyperlink ref="A1" r:id="rId1" xr:uid="{00000000-0004-0000-0600-000000000000}"/>
    <hyperlink ref="A5" r:id="rId2" xr:uid="{00000000-0004-0000-0600-000001000000}"/>
    <hyperlink ref="A12" r:id="rId3" xr:uid="{00000000-0004-0000-0600-000002000000}"/>
    <hyperlink ref="A20" r:id="rId4" xr:uid="{00000000-0004-0000-06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Results</vt:lpstr>
      <vt:lpstr>Vote totals</vt:lpstr>
      <vt:lpstr>Header</vt:lpstr>
      <vt:lpstr>Detailed results</vt:lpstr>
      <vt:lpstr>Sources</vt:lpstr>
      <vt:lpstr>Data Source Summary</vt:lpstr>
      <vt:lpstr>Info</vt:lpstr>
      <vt:lpstr>Header!CDs</vt:lpstr>
      <vt:lpstr>CDs</vt:lpstr>
      <vt:lpstr>Header!ColumnHeaders</vt:lpstr>
      <vt:lpstr>ColumnHeaders</vt:lpstr>
      <vt:lpstr>ColumnHeaders2</vt:lpstr>
      <vt:lpstr>States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 Tan</cp:lastModifiedBy>
  <dcterms:modified xsi:type="dcterms:W3CDTF">2026-02-24T20:43:32Z</dcterms:modified>
</cp:coreProperties>
</file>