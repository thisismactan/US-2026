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Vote totals" sheetId="2" r:id="rId5"/>
    <sheet state="visible" name="Info" sheetId="3" r:id="rId6"/>
  </sheets>
  <definedNames/>
  <calcPr/>
</workbook>
</file>

<file path=xl/sharedStrings.xml><?xml version="1.0" encoding="utf-8"?>
<sst xmlns="http://schemas.openxmlformats.org/spreadsheetml/2006/main" count="1769" uniqueCount="896">
  <si>
    <t>District</t>
  </si>
  <si>
    <t>Incumbent</t>
  </si>
  <si>
    <t>Party</t>
  </si>
  <si>
    <t>Biden</t>
  </si>
  <si>
    <t>Trump</t>
  </si>
  <si>
    <t>Margin</t>
  </si>
  <si>
    <t>AK-AL</t>
  </si>
  <si>
    <t>Mary Peltola</t>
  </si>
  <si>
    <t>(D)</t>
  </si>
  <si>
    <t>AL-01</t>
  </si>
  <si>
    <t>Jerry Carl</t>
  </si>
  <si>
    <t>(R)</t>
  </si>
  <si>
    <t>AL-02</t>
  </si>
  <si>
    <t>Barry Moore</t>
  </si>
  <si>
    <t>AL-03</t>
  </si>
  <si>
    <t>Mike Rogers</t>
  </si>
  <si>
    <t>AL-04</t>
  </si>
  <si>
    <t>Robert Aderholt</t>
  </si>
  <si>
    <t>AL-05</t>
  </si>
  <si>
    <t>Dale Strong</t>
  </si>
  <si>
    <t>AL-06</t>
  </si>
  <si>
    <t>Gary Palmer</t>
  </si>
  <si>
    <t>AL-07</t>
  </si>
  <si>
    <t>Terri Sewell</t>
  </si>
  <si>
    <t>AR-01</t>
  </si>
  <si>
    <t>Rick Crawford</t>
  </si>
  <si>
    <t>AR-02</t>
  </si>
  <si>
    <t>French Hill</t>
  </si>
  <si>
    <t>AR-03</t>
  </si>
  <si>
    <t>Steve Womack</t>
  </si>
  <si>
    <t>AR-04</t>
  </si>
  <si>
    <t>Bruce Westerman</t>
  </si>
  <si>
    <t>AZ-01</t>
  </si>
  <si>
    <t>David Schweikert</t>
  </si>
  <si>
    <t>AZ-02</t>
  </si>
  <si>
    <t>Eli Crane</t>
  </si>
  <si>
    <t>AZ-03</t>
  </si>
  <si>
    <t>Ruben Gallego</t>
  </si>
  <si>
    <t>AZ-04</t>
  </si>
  <si>
    <t>Greg Stanton</t>
  </si>
  <si>
    <t>AZ-05</t>
  </si>
  <si>
    <t>Andy Biggs</t>
  </si>
  <si>
    <t>AZ-06</t>
  </si>
  <si>
    <t>Juan Ciscomani</t>
  </si>
  <si>
    <t>AZ-07</t>
  </si>
  <si>
    <t>Raúl Grijalva</t>
  </si>
  <si>
    <t>AZ-08</t>
  </si>
  <si>
    <t>Debbie Lesko</t>
  </si>
  <si>
    <t>AZ-09</t>
  </si>
  <si>
    <t>Paul Gosar</t>
  </si>
  <si>
    <t>CA-01</t>
  </si>
  <si>
    <t>Doug LaMalfa</t>
  </si>
  <si>
    <t>CA-02</t>
  </si>
  <si>
    <t>Jared Huffman</t>
  </si>
  <si>
    <t>CA-03</t>
  </si>
  <si>
    <t>Kevin Kiley</t>
  </si>
  <si>
    <t>CA-04</t>
  </si>
  <si>
    <t>Mike Thompson</t>
  </si>
  <si>
    <t>CA-05</t>
  </si>
  <si>
    <t>Tom McClintock</t>
  </si>
  <si>
    <t>CA-06</t>
  </si>
  <si>
    <t>Ami Bera</t>
  </si>
  <si>
    <t>CA-07</t>
  </si>
  <si>
    <t>Doris Matsui</t>
  </si>
  <si>
    <t>CA-08</t>
  </si>
  <si>
    <t>John Garamendi</t>
  </si>
  <si>
    <t>CA-09</t>
  </si>
  <si>
    <t>Josh Harder</t>
  </si>
  <si>
    <t>CA-10</t>
  </si>
  <si>
    <t>Mark DeSaulnier</t>
  </si>
  <si>
    <t>CA-11</t>
  </si>
  <si>
    <t>Nancy Pelosi</t>
  </si>
  <si>
    <t>CA-12</t>
  </si>
  <si>
    <t>Barbara Lee</t>
  </si>
  <si>
    <t>CA-13</t>
  </si>
  <si>
    <t>John Duarte</t>
  </si>
  <si>
    <t>CA-14</t>
  </si>
  <si>
    <t>Eric Swalwell</t>
  </si>
  <si>
    <t>CA-15</t>
  </si>
  <si>
    <t>Kevin Mullin</t>
  </si>
  <si>
    <t>CA-16</t>
  </si>
  <si>
    <t>Anna Eshoo</t>
  </si>
  <si>
    <t>CA-17</t>
  </si>
  <si>
    <t>Ro Khanna</t>
  </si>
  <si>
    <t>CA-18</t>
  </si>
  <si>
    <t>Zoe Lofgren</t>
  </si>
  <si>
    <t>CA-19</t>
  </si>
  <si>
    <t>Jimmy Panetta</t>
  </si>
  <si>
    <t>CA-20</t>
  </si>
  <si>
    <t>Kevin McCarthy</t>
  </si>
  <si>
    <t>CA-21</t>
  </si>
  <si>
    <t>Jim Costa</t>
  </si>
  <si>
    <t>CA-22</t>
  </si>
  <si>
    <t>David Valadao</t>
  </si>
  <si>
    <t>CA-23</t>
  </si>
  <si>
    <t>Jay Obernolte</t>
  </si>
  <si>
    <t>CA-24</t>
  </si>
  <si>
    <t>Salud Carbajal</t>
  </si>
  <si>
    <t>CA-25</t>
  </si>
  <si>
    <t>Raul Ruiz</t>
  </si>
  <si>
    <t>CA-26</t>
  </si>
  <si>
    <t>Julia Brownley</t>
  </si>
  <si>
    <t>CA-27</t>
  </si>
  <si>
    <t>Mike Garcia</t>
  </si>
  <si>
    <t>CA-28</t>
  </si>
  <si>
    <t>Judy Chu</t>
  </si>
  <si>
    <t>CA-29</t>
  </si>
  <si>
    <t>Tony Cárdenas</t>
  </si>
  <si>
    <t>CA-30</t>
  </si>
  <si>
    <t>Adam Schiff</t>
  </si>
  <si>
    <t>CA-31</t>
  </si>
  <si>
    <t>Grace Napolitano</t>
  </si>
  <si>
    <t>CA-32</t>
  </si>
  <si>
    <t>Brad Sherman</t>
  </si>
  <si>
    <t>CA-33</t>
  </si>
  <si>
    <t>Pete Aguilar</t>
  </si>
  <si>
    <t>CA-34</t>
  </si>
  <si>
    <t>Jimmy Gomez</t>
  </si>
  <si>
    <t>CA-35</t>
  </si>
  <si>
    <t>Norma Torres</t>
  </si>
  <si>
    <t>CA-36</t>
  </si>
  <si>
    <t>Ted Lieu</t>
  </si>
  <si>
    <t>CA-37</t>
  </si>
  <si>
    <t>Sydney Kamlager-Dove</t>
  </si>
  <si>
    <t>CA-38</t>
  </si>
  <si>
    <t>Linda Sánchez</t>
  </si>
  <si>
    <t>CA-39</t>
  </si>
  <si>
    <t>Mark Takano</t>
  </si>
  <si>
    <t>CA-40</t>
  </si>
  <si>
    <t>Young Kim</t>
  </si>
  <si>
    <t>CA-41</t>
  </si>
  <si>
    <t>Ken Calvert</t>
  </si>
  <si>
    <t>CA-42</t>
  </si>
  <si>
    <t>Robert Garcia</t>
  </si>
  <si>
    <t>CA-43</t>
  </si>
  <si>
    <t>Maxine Waters</t>
  </si>
  <si>
    <t>CA-44</t>
  </si>
  <si>
    <t>Nanette Barragán</t>
  </si>
  <si>
    <t>CA-45</t>
  </si>
  <si>
    <t>Michelle Steel</t>
  </si>
  <si>
    <t>CA-46</t>
  </si>
  <si>
    <t>Lou Correa</t>
  </si>
  <si>
    <t>CA-47</t>
  </si>
  <si>
    <t>Katie Porter</t>
  </si>
  <si>
    <t>CA-48</t>
  </si>
  <si>
    <t>Darrell Issa</t>
  </si>
  <si>
    <t>CA-49</t>
  </si>
  <si>
    <t>Mike Levin</t>
  </si>
  <si>
    <t>CA-50</t>
  </si>
  <si>
    <t>Scott Peters</t>
  </si>
  <si>
    <t>CA-51</t>
  </si>
  <si>
    <t>Sara Jacobs</t>
  </si>
  <si>
    <t>CA-52</t>
  </si>
  <si>
    <t>Juan Vargas</t>
  </si>
  <si>
    <t>CO-01</t>
  </si>
  <si>
    <t>Diana DeGette</t>
  </si>
  <si>
    <t>CO-02</t>
  </si>
  <si>
    <t>Joe Neguse</t>
  </si>
  <si>
    <t>CO-03</t>
  </si>
  <si>
    <t>Lauren Boebert</t>
  </si>
  <si>
    <t>CO-04</t>
  </si>
  <si>
    <t>Ken Buck</t>
  </si>
  <si>
    <t>CO-05</t>
  </si>
  <si>
    <t>Doug Lamborn</t>
  </si>
  <si>
    <t>CO-06</t>
  </si>
  <si>
    <t>Jason Crow</t>
  </si>
  <si>
    <t>CO-07</t>
  </si>
  <si>
    <t>Brittany Pettersen</t>
  </si>
  <si>
    <t>CO-08</t>
  </si>
  <si>
    <t>Yadira Caraveo</t>
  </si>
  <si>
    <t>CT-01</t>
  </si>
  <si>
    <t>John Larson</t>
  </si>
  <si>
    <t>CT-02</t>
  </si>
  <si>
    <t>Joe Courtney</t>
  </si>
  <si>
    <t>CT-03</t>
  </si>
  <si>
    <t>Rosa DeLauro</t>
  </si>
  <si>
    <t>CT-04</t>
  </si>
  <si>
    <t>Jim Himes</t>
  </si>
  <si>
    <t>CT-05</t>
  </si>
  <si>
    <t>Jahana Hayes</t>
  </si>
  <si>
    <t>DE-AL</t>
  </si>
  <si>
    <t>Lisa Blunt Rochester</t>
  </si>
  <si>
    <t>FL-01</t>
  </si>
  <si>
    <t>Matt Gaetz</t>
  </si>
  <si>
    <t>FL-02</t>
  </si>
  <si>
    <t>Neal Dunn</t>
  </si>
  <si>
    <t>FL-03</t>
  </si>
  <si>
    <t>Kat Cammack</t>
  </si>
  <si>
    <t>FL-04</t>
  </si>
  <si>
    <t>Aaron Bean</t>
  </si>
  <si>
    <t>FL-05</t>
  </si>
  <si>
    <t>John Rutherford</t>
  </si>
  <si>
    <t>FL-06</t>
  </si>
  <si>
    <t>Mike Waltz</t>
  </si>
  <si>
    <t>FL-07</t>
  </si>
  <si>
    <t>Cory Mills</t>
  </si>
  <si>
    <t>FL-08</t>
  </si>
  <si>
    <t>Bill Posey</t>
  </si>
  <si>
    <t>FL-09</t>
  </si>
  <si>
    <t>Darren Soto</t>
  </si>
  <si>
    <t>FL-10</t>
  </si>
  <si>
    <t>Maxwell Frost</t>
  </si>
  <si>
    <t>FL-11</t>
  </si>
  <si>
    <t>Daniel Webster</t>
  </si>
  <si>
    <t>FL-12</t>
  </si>
  <si>
    <t>Gus Bilirakis</t>
  </si>
  <si>
    <t>FL-13</t>
  </si>
  <si>
    <t>Anna Paulina Luna</t>
  </si>
  <si>
    <t>FL-14</t>
  </si>
  <si>
    <t>Kathy Castor</t>
  </si>
  <si>
    <t>FL-15</t>
  </si>
  <si>
    <t>Laurel Lee</t>
  </si>
  <si>
    <t>FL-16</t>
  </si>
  <si>
    <t>Vern Buchanan</t>
  </si>
  <si>
    <t>FL-17</t>
  </si>
  <si>
    <t>Greg Steube</t>
  </si>
  <si>
    <t>FL-18</t>
  </si>
  <si>
    <t>Scott Franklin</t>
  </si>
  <si>
    <t>FL-19</t>
  </si>
  <si>
    <t>Byron Donalds</t>
  </si>
  <si>
    <t>FL-20</t>
  </si>
  <si>
    <t>Sheila Cherfilus-McCormick</t>
  </si>
  <si>
    <t>FL-21</t>
  </si>
  <si>
    <t>Brian Mast</t>
  </si>
  <si>
    <t>FL-22</t>
  </si>
  <si>
    <t>Lois Frankel</t>
  </si>
  <si>
    <t>FL-23</t>
  </si>
  <si>
    <t>Jared Moskowitz</t>
  </si>
  <si>
    <t>FL-24</t>
  </si>
  <si>
    <t>Frederica Wilson</t>
  </si>
  <si>
    <t>FL-25</t>
  </si>
  <si>
    <t>Debbie Wasserman Schultz</t>
  </si>
  <si>
    <t>FL-26</t>
  </si>
  <si>
    <t>Mario Diaz-Balart</t>
  </si>
  <si>
    <t>FL-27</t>
  </si>
  <si>
    <t>María Elvira Salazar</t>
  </si>
  <si>
    <t>FL-28</t>
  </si>
  <si>
    <t>Carlos Giménez</t>
  </si>
  <si>
    <t>GA-01</t>
  </si>
  <si>
    <t>Buddy Carter</t>
  </si>
  <si>
    <t>GA-02</t>
  </si>
  <si>
    <t>Sanford Bishop</t>
  </si>
  <si>
    <t>GA-03</t>
  </si>
  <si>
    <t>Drew Ferguson</t>
  </si>
  <si>
    <t>GA-04</t>
  </si>
  <si>
    <t>Hank Johnson</t>
  </si>
  <si>
    <t>GA-05</t>
  </si>
  <si>
    <t>Nikema Williams</t>
  </si>
  <si>
    <t>GA-06</t>
  </si>
  <si>
    <t>Rich McCormick</t>
  </si>
  <si>
    <t>GA-07</t>
  </si>
  <si>
    <t>Lucy McBath</t>
  </si>
  <si>
    <t>GA-08</t>
  </si>
  <si>
    <t>Austin Scott</t>
  </si>
  <si>
    <t>GA-09</t>
  </si>
  <si>
    <t>Andrew Clyde</t>
  </si>
  <si>
    <t>GA-10</t>
  </si>
  <si>
    <t>Mike Collins</t>
  </si>
  <si>
    <t>GA-11</t>
  </si>
  <si>
    <t>Barry Loudermilk</t>
  </si>
  <si>
    <t>GA-12</t>
  </si>
  <si>
    <t>Rick Allen</t>
  </si>
  <si>
    <t>GA-13</t>
  </si>
  <si>
    <t>David Scott</t>
  </si>
  <si>
    <t>GA-14</t>
  </si>
  <si>
    <t>Marjorie Taylor Greene</t>
  </si>
  <si>
    <t>HI-01</t>
  </si>
  <si>
    <t>Ed Case</t>
  </si>
  <si>
    <t>HI-02</t>
  </si>
  <si>
    <t>Jill Tokuda</t>
  </si>
  <si>
    <t>IA-01</t>
  </si>
  <si>
    <t>Mariannette Miller-Meeks</t>
  </si>
  <si>
    <t>IA-02</t>
  </si>
  <si>
    <t>Ashley Hinson</t>
  </si>
  <si>
    <t>IA-03</t>
  </si>
  <si>
    <t>Zach Nunn</t>
  </si>
  <si>
    <t>IA-04</t>
  </si>
  <si>
    <t>Randy Feenstra</t>
  </si>
  <si>
    <t>ID-01</t>
  </si>
  <si>
    <t>Russ Fulcher</t>
  </si>
  <si>
    <t>ID-02</t>
  </si>
  <si>
    <t>Mike Simpson</t>
  </si>
  <si>
    <t>IL-01</t>
  </si>
  <si>
    <t>Jonathan Jackson</t>
  </si>
  <si>
    <t>IL-02</t>
  </si>
  <si>
    <t>Robin Kelly</t>
  </si>
  <si>
    <t>IL-03</t>
  </si>
  <si>
    <t>Delia Ramirez</t>
  </si>
  <si>
    <t>IL-04</t>
  </si>
  <si>
    <t>Chuy Garcia</t>
  </si>
  <si>
    <t>IL-05</t>
  </si>
  <si>
    <t>Mike Quigley</t>
  </si>
  <si>
    <t>IL-06</t>
  </si>
  <si>
    <t>Sean Casten</t>
  </si>
  <si>
    <t>IL-07</t>
  </si>
  <si>
    <t>Danny Davis</t>
  </si>
  <si>
    <t>IL-08</t>
  </si>
  <si>
    <t>Raja Krishnamoorthi</t>
  </si>
  <si>
    <t>IL-09</t>
  </si>
  <si>
    <t>Jan Schakowsky</t>
  </si>
  <si>
    <t>IL-10</t>
  </si>
  <si>
    <t>Brad Schneider</t>
  </si>
  <si>
    <t>IL-11</t>
  </si>
  <si>
    <t>Bill Foster</t>
  </si>
  <si>
    <t>IL-12</t>
  </si>
  <si>
    <t>Mike Bost</t>
  </si>
  <si>
    <t>IL-13</t>
  </si>
  <si>
    <t>Nikki Budzinski</t>
  </si>
  <si>
    <t>IL-14</t>
  </si>
  <si>
    <t>Lauren Underwood</t>
  </si>
  <si>
    <t>IL-15</t>
  </si>
  <si>
    <t>Mary Miller</t>
  </si>
  <si>
    <t>IL-16</t>
  </si>
  <si>
    <t>Darin LaHood</t>
  </si>
  <si>
    <t>IL-17</t>
  </si>
  <si>
    <t>Eric Sorensen</t>
  </si>
  <si>
    <t>IN-01</t>
  </si>
  <si>
    <t>Frank Mrvan</t>
  </si>
  <si>
    <t>IN-02</t>
  </si>
  <si>
    <t>Rudy Yakym</t>
  </si>
  <si>
    <t>IN-03</t>
  </si>
  <si>
    <t>Jim Banks</t>
  </si>
  <si>
    <t>IN-04</t>
  </si>
  <si>
    <t>Jim Baird</t>
  </si>
  <si>
    <t>IN-05</t>
  </si>
  <si>
    <t>Victoria Spartz</t>
  </si>
  <si>
    <t>IN-06</t>
  </si>
  <si>
    <t>Greg Pence</t>
  </si>
  <si>
    <t>IN-07</t>
  </si>
  <si>
    <t>André Carson</t>
  </si>
  <si>
    <t>IN-08</t>
  </si>
  <si>
    <t>Larry Bucshon</t>
  </si>
  <si>
    <t>IN-09</t>
  </si>
  <si>
    <t>Erin Houchin</t>
  </si>
  <si>
    <t>KS-01</t>
  </si>
  <si>
    <t>Tracey Mann</t>
  </si>
  <si>
    <t>KS-02</t>
  </si>
  <si>
    <t>Jake LaTurner</t>
  </si>
  <si>
    <t>KS-03</t>
  </si>
  <si>
    <t>Sharice Davids</t>
  </si>
  <si>
    <t>KS-04</t>
  </si>
  <si>
    <t>Ron Estes</t>
  </si>
  <si>
    <t>KY-01</t>
  </si>
  <si>
    <t>James Comer</t>
  </si>
  <si>
    <t>KY-02</t>
  </si>
  <si>
    <t>Brett Guthrie</t>
  </si>
  <si>
    <t>KY-03</t>
  </si>
  <si>
    <t>Morgan McGarvey</t>
  </si>
  <si>
    <t>KY-04</t>
  </si>
  <si>
    <t>Thomas Massie</t>
  </si>
  <si>
    <t>KY-05</t>
  </si>
  <si>
    <t>Hal Rogers</t>
  </si>
  <si>
    <t>KY-06</t>
  </si>
  <si>
    <t>Andy Barr</t>
  </si>
  <si>
    <t>LA-01</t>
  </si>
  <si>
    <t>Steve Scalise</t>
  </si>
  <si>
    <t>LA-02</t>
  </si>
  <si>
    <t>Troy Carter</t>
  </si>
  <si>
    <t>LA-03</t>
  </si>
  <si>
    <t>Clay Higgins</t>
  </si>
  <si>
    <t>LA-04</t>
  </si>
  <si>
    <t>Mike Johnson</t>
  </si>
  <si>
    <t>LA-05</t>
  </si>
  <si>
    <t>Julia Letlow</t>
  </si>
  <si>
    <t>LA-06</t>
  </si>
  <si>
    <t>Garret Graves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</si>
  <si>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</si>
  <si>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</si>
  <si>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</si>
  <si>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</si>
  <si>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</si>
  <si>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</si>
  <si>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</si>
  <si>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</si>
  <si>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</si>
  <si>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</si>
  <si>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</si>
  <si>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</si>
  <si>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</si>
  <si>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</si>
  <si>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</si>
  <si>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</si>
  <si>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</si>
  <si>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</si>
  <si>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MD-01</t>
  </si>
  <si>
    <t>Andy Harris</t>
  </si>
  <si>
    <t>MD-02</t>
  </si>
  <si>
    <t>Dutch Ruppersberger</t>
  </si>
  <si>
    <t>MD-03</t>
  </si>
  <si>
    <t>John Sarbanes</t>
  </si>
  <si>
    <t>MD-04</t>
  </si>
  <si>
    <t>Glenn Ivey</t>
  </si>
  <si>
    <t>MD-05</t>
  </si>
  <si>
    <t>Steny Hoyer</t>
  </si>
  <si>
    <t>MD-06</t>
  </si>
  <si>
    <t>David Trone</t>
  </si>
  <si>
    <t>MD-07</t>
  </si>
  <si>
    <t>Kweisi Mfume</t>
  </si>
  <si>
    <t>MD-08</t>
  </si>
  <si>
    <t>Jamie Raskin</t>
  </si>
  <si>
    <t>ME-01</t>
  </si>
  <si>
    <t>Chellie Pingree</t>
  </si>
  <si>
    <t>ME-02</t>
  </si>
  <si>
    <t>Jared Golden</t>
  </si>
  <si>
    <t>MI-01</t>
  </si>
  <si>
    <t>Jack Bergman</t>
  </si>
  <si>
    <t>MI-02</t>
  </si>
  <si>
    <t>John Moolenaar</t>
  </si>
  <si>
    <t>MI-03</t>
  </si>
  <si>
    <t>Hillary Scholten</t>
  </si>
  <si>
    <t>MI-04</t>
  </si>
  <si>
    <t>Bill Huizenga</t>
  </si>
  <si>
    <t>MI-05</t>
  </si>
  <si>
    <t>Tim Walberg</t>
  </si>
  <si>
    <t>MI-06</t>
  </si>
  <si>
    <t>Debbie Dingell</t>
  </si>
  <si>
    <t>MI-07</t>
  </si>
  <si>
    <t>Elissa Slotkin</t>
  </si>
  <si>
    <t>MI-08</t>
  </si>
  <si>
    <t>Dan Kildee</t>
  </si>
  <si>
    <t>MI-09</t>
  </si>
  <si>
    <t>Lisa McClain</t>
  </si>
  <si>
    <t>MI-10</t>
  </si>
  <si>
    <t>John James</t>
  </si>
  <si>
    <t>MI-11</t>
  </si>
  <si>
    <t>Haley Stevens</t>
  </si>
  <si>
    <t>MI-12</t>
  </si>
  <si>
    <t>Rashida Tlaib</t>
  </si>
  <si>
    <t>MI-13</t>
  </si>
  <si>
    <t>Shri Thanedar</t>
  </si>
  <si>
    <t>MN-01</t>
  </si>
  <si>
    <t>Brad Finstad</t>
  </si>
  <si>
    <t>MN-02</t>
  </si>
  <si>
    <t>Angie Craig</t>
  </si>
  <si>
    <t>MN-03</t>
  </si>
  <si>
    <t>Dean Phillips</t>
  </si>
  <si>
    <t>MN-04</t>
  </si>
  <si>
    <t>Betty McCollum</t>
  </si>
  <si>
    <t>MN-05</t>
  </si>
  <si>
    <t>Ilhan Omar</t>
  </si>
  <si>
    <t>MN-06</t>
  </si>
  <si>
    <t>Tom Emmer</t>
  </si>
  <si>
    <t>MN-07</t>
  </si>
  <si>
    <t>Michelle Fischbach</t>
  </si>
  <si>
    <t>MN-08</t>
  </si>
  <si>
    <t>Pete Stauber</t>
  </si>
  <si>
    <t>MO-01</t>
  </si>
  <si>
    <t>Cori Bush</t>
  </si>
  <si>
    <t>MO-02</t>
  </si>
  <si>
    <t>Ann Wagner</t>
  </si>
  <si>
    <t>MO-03</t>
  </si>
  <si>
    <t>Blaine Luetkemeyer</t>
  </si>
  <si>
    <t>MO-04</t>
  </si>
  <si>
    <t>Mark Alford</t>
  </si>
  <si>
    <t>MO-05</t>
  </si>
  <si>
    <t>Emanuel Cleaver</t>
  </si>
  <si>
    <t>MO-06</t>
  </si>
  <si>
    <t>Sam Graves</t>
  </si>
  <si>
    <t>MO-07</t>
  </si>
  <si>
    <t>Eric Burlison</t>
  </si>
  <si>
    <t>MO-08</t>
  </si>
  <si>
    <t>Jason Smith</t>
  </si>
  <si>
    <t>MS-01</t>
  </si>
  <si>
    <t>Trent Kelly</t>
  </si>
  <si>
    <t>MS-02</t>
  </si>
  <si>
    <t>Bennie Thompson</t>
  </si>
  <si>
    <t>MS-03</t>
  </si>
  <si>
    <t>Michael Guest</t>
  </si>
  <si>
    <t>MS-04</t>
  </si>
  <si>
    <t>Mike Ezell</t>
  </si>
  <si>
    <t>MT-01</t>
  </si>
  <si>
    <t>Ryan Zinke</t>
  </si>
  <si>
    <t>MT-02</t>
  </si>
  <si>
    <t>Matt Rosendale</t>
  </si>
  <si>
    <t>NC-01</t>
  </si>
  <si>
    <t>Don Davis</t>
  </si>
  <si>
    <t>NC-02</t>
  </si>
  <si>
    <t>Deborah Ross</t>
  </si>
  <si>
    <t>NC-03</t>
  </si>
  <si>
    <t>Greg Murphy</t>
  </si>
  <si>
    <t>NC-04</t>
  </si>
  <si>
    <t>Valerie Foushee</t>
  </si>
  <si>
    <t>NC-05</t>
  </si>
  <si>
    <t>Virginia Foxx</t>
  </si>
  <si>
    <t>NC-06</t>
  </si>
  <si>
    <t>Kathy Manning</t>
  </si>
  <si>
    <t>NC-07</t>
  </si>
  <si>
    <t>David Rouzer</t>
  </si>
  <si>
    <t>NC-08</t>
  </si>
  <si>
    <t>Dan Bishop</t>
  </si>
  <si>
    <t>NC-09</t>
  </si>
  <si>
    <t>Richard Hudson</t>
  </si>
  <si>
    <t>NC-10</t>
  </si>
  <si>
    <t>Patrick McHenry</t>
  </si>
  <si>
    <t>NC-11</t>
  </si>
  <si>
    <t>Chuck Edwards</t>
  </si>
  <si>
    <t>NC-12</t>
  </si>
  <si>
    <t>Alma Adams</t>
  </si>
  <si>
    <t>NC-13</t>
  </si>
  <si>
    <t>Wiley Nickel</t>
  </si>
  <si>
    <t>NC-14</t>
  </si>
  <si>
    <t>Jeff Jackson</t>
  </si>
  <si>
    <t>ND-AL</t>
  </si>
  <si>
    <t>Kelly Armstrong</t>
  </si>
  <si>
    <t>NE-01</t>
  </si>
  <si>
    <t>Mike Flood</t>
  </si>
  <si>
    <t>NE-02</t>
  </si>
  <si>
    <t>Don Bacon</t>
  </si>
  <si>
    <t>NE-03</t>
  </si>
  <si>
    <t>Adrian Smith</t>
  </si>
  <si>
    <t>NH-01</t>
  </si>
  <si>
    <t>Chris Pappas</t>
  </si>
  <si>
    <t>NH-02</t>
  </si>
  <si>
    <t>Annie Kuster</t>
  </si>
  <si>
    <t>NJ-01</t>
  </si>
  <si>
    <t>Donald Norcross</t>
  </si>
  <si>
    <t>NJ-02</t>
  </si>
  <si>
    <t>Jeff Van Drew</t>
  </si>
  <si>
    <t>NJ-03</t>
  </si>
  <si>
    <t>Andy Kim</t>
  </si>
  <si>
    <t>NJ-04</t>
  </si>
  <si>
    <t>Chris Smith</t>
  </si>
  <si>
    <t>NJ-05</t>
  </si>
  <si>
    <t>Josh Gottheimer</t>
  </si>
  <si>
    <t>NJ-06</t>
  </si>
  <si>
    <t>Frank Pallone</t>
  </si>
  <si>
    <t>NJ-07</t>
  </si>
  <si>
    <t>Tom Kean Jr.</t>
  </si>
  <si>
    <t>NJ-08</t>
  </si>
  <si>
    <t>Rob Menendez</t>
  </si>
  <si>
    <t>NJ-09</t>
  </si>
  <si>
    <t>Bill Pascrell</t>
  </si>
  <si>
    <t>NJ-10</t>
  </si>
  <si>
    <t>Donald Payne</t>
  </si>
  <si>
    <t>NJ-11</t>
  </si>
  <si>
    <t>Mikie Sherrill</t>
  </si>
  <si>
    <t>NJ-12</t>
  </si>
  <si>
    <t>Bonnie Watson Coleman</t>
  </si>
  <si>
    <t>NM-01</t>
  </si>
  <si>
    <t>Melanie Stansbury</t>
  </si>
  <si>
    <t>NM-02</t>
  </si>
  <si>
    <t>Gabe Vasquez</t>
  </si>
  <si>
    <t>NM-03</t>
  </si>
  <si>
    <t>Teresa Leger Fernandez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</si>
  <si>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</si>
  <si>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</si>
  <si>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</si>
  <si>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</si>
  <si>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</si>
  <si>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</si>
  <si>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</si>
  <si>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</si>
  <si>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NY-01</t>
  </si>
  <si>
    <t>Nick LaLota</t>
  </si>
  <si>
    <t>NY-02</t>
  </si>
  <si>
    <t>Andrew Garbarino</t>
  </si>
  <si>
    <t>NY-03</t>
  </si>
  <si>
    <t>George Santos</t>
  </si>
  <si>
    <t>NY-04</t>
  </si>
  <si>
    <t>Anthony D'Esposito</t>
  </si>
  <si>
    <t>NY-05</t>
  </si>
  <si>
    <t>Gregory Meeks</t>
  </si>
  <si>
    <t>NY-06</t>
  </si>
  <si>
    <t>Grace Meng</t>
  </si>
  <si>
    <t>NY-07</t>
  </si>
  <si>
    <t>Nydia Velázquez</t>
  </si>
  <si>
    <t>NY-08</t>
  </si>
  <si>
    <t>Hakeem Jeffries</t>
  </si>
  <si>
    <t>NY-09</t>
  </si>
  <si>
    <t>Yvette Clarke</t>
  </si>
  <si>
    <t>NY-10</t>
  </si>
  <si>
    <t>Dan Goldman</t>
  </si>
  <si>
    <t>NY-11</t>
  </si>
  <si>
    <t>Nicole Malliotakis</t>
  </si>
  <si>
    <t>NY-12</t>
  </si>
  <si>
    <t>Jerry Nadler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</si>
  <si>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</si>
  <si>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</si>
  <si>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</si>
  <si>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</si>
  <si>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</si>
  <si>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</si>
  <si>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</si>
  <si>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Jamaal Bowman</t>
  </si>
  <si>
    <t>NY-17</t>
  </si>
  <si>
    <t>Mike Lawler</t>
  </si>
  <si>
    <t>NY-18</t>
  </si>
  <si>
    <t>Pat Ryan</t>
  </si>
  <si>
    <t>NY-19</t>
  </si>
  <si>
    <t>Marc Molinaro</t>
  </si>
  <si>
    <t>NY-20</t>
  </si>
  <si>
    <t>Paul Tonko</t>
  </si>
  <si>
    <t>NY-21</t>
  </si>
  <si>
    <t>Elise Stefanik</t>
  </si>
  <si>
    <t>NY-22</t>
  </si>
  <si>
    <t>Brandon Williams</t>
  </si>
  <si>
    <t>NY-23</t>
  </si>
  <si>
    <t>Nick Langworthy</t>
  </si>
  <si>
    <t>NY-24</t>
  </si>
  <si>
    <t>Claudia Tenney</t>
  </si>
  <si>
    <t>NY-25</t>
  </si>
  <si>
    <t>Joe Morelle</t>
  </si>
  <si>
    <t>NY-26</t>
  </si>
  <si>
    <t>Brian Higgins</t>
  </si>
  <si>
    <t>OH-01</t>
  </si>
  <si>
    <t>Greg Landsman</t>
  </si>
  <si>
    <t>OH-02</t>
  </si>
  <si>
    <t>Brad Wenstrup</t>
  </si>
  <si>
    <t>OH-03</t>
  </si>
  <si>
    <t>Joyce Beatty</t>
  </si>
  <si>
    <t>OH-04</t>
  </si>
  <si>
    <t>Jim Jordan</t>
  </si>
  <si>
    <t>OH-05</t>
  </si>
  <si>
    <t>Bob Latta</t>
  </si>
  <si>
    <t>OH-06</t>
  </si>
  <si>
    <t>Bill Johnson</t>
  </si>
  <si>
    <t>OH-07</t>
  </si>
  <si>
    <t>Max Miller</t>
  </si>
  <si>
    <t>OH-08</t>
  </si>
  <si>
    <t>Warren Davidson</t>
  </si>
  <si>
    <t>OH-09</t>
  </si>
  <si>
    <t>Marcy Kaptur</t>
  </si>
  <si>
    <t>OH-10</t>
  </si>
  <si>
    <t>Mike Turner</t>
  </si>
  <si>
    <t>OH-11</t>
  </si>
  <si>
    <t>Shontel Brown</t>
  </si>
  <si>
    <t>OH-12</t>
  </si>
  <si>
    <t>Troy Balderson</t>
  </si>
  <si>
    <t>OH-13</t>
  </si>
  <si>
    <t>Emilia Sykes</t>
  </si>
  <si>
    <t>OH-14</t>
  </si>
  <si>
    <t>Dave Joyce</t>
  </si>
  <si>
    <t>OH-15</t>
  </si>
  <si>
    <t>Mike Carey</t>
  </si>
  <si>
    <t>OK-01</t>
  </si>
  <si>
    <t>Kevin Hern</t>
  </si>
  <si>
    <t>OK-02</t>
  </si>
  <si>
    <t>Josh Brecheen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</si>
  <si>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</si>
  <si>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</si>
  <si>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</si>
  <si>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</si>
  <si>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</si>
  <si>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</si>
  <si>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</si>
  <si>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</si>
  <si>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</si>
  <si>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</si>
  <si>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</si>
  <si>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Earl Blumenauer</t>
  </si>
  <si>
    <t>OR-04</t>
  </si>
  <si>
    <t>Val Hoyle</t>
  </si>
  <si>
    <t>OR-05</t>
  </si>
  <si>
    <t>Lori Chavez-DeRemer</t>
  </si>
  <si>
    <t>OR-06</t>
  </si>
  <si>
    <t>Andrea Salinas</t>
  </si>
  <si>
    <t>PA-01</t>
  </si>
  <si>
    <t>Brian Fitzpatrick</t>
  </si>
  <si>
    <t>PA-02</t>
  </si>
  <si>
    <t>Brendan Boyle</t>
  </si>
  <si>
    <t>PA-03</t>
  </si>
  <si>
    <t>Dwight Evans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</si>
  <si>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</si>
  <si>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</si>
  <si>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</si>
  <si>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</si>
  <si>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</si>
  <si>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</si>
  <si>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</si>
  <si>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Susan Wild</t>
  </si>
  <si>
    <t>PA-08</t>
  </si>
  <si>
    <t>Matt Cartwright</t>
  </si>
  <si>
    <t>PA-09</t>
  </si>
  <si>
    <t>Dan Meuser</t>
  </si>
  <si>
    <t>PA-10</t>
  </si>
  <si>
    <t>Scott Perry</t>
  </si>
  <si>
    <t>PA-11</t>
  </si>
  <si>
    <t>Lloyd Smucker</t>
  </si>
  <si>
    <t>PA-12</t>
  </si>
  <si>
    <t>Summer Lee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</si>
  <si>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</si>
  <si>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</si>
  <si>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</si>
  <si>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</si>
  <si>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</si>
  <si>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</si>
  <si>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</si>
  <si>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</si>
  <si>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</si>
  <si>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Chris Deluzio</t>
  </si>
  <si>
    <t>RI-01</t>
  </si>
  <si>
    <t>Gabe Amo</t>
  </si>
  <si>
    <t>RI-02</t>
  </si>
  <si>
    <t>Seth Magaziner</t>
  </si>
  <si>
    <t>SC-01</t>
  </si>
  <si>
    <t>Nancy Mace</t>
  </si>
  <si>
    <t>SC-02</t>
  </si>
  <si>
    <t>Joe Wilson</t>
  </si>
  <si>
    <t>SC-03</t>
  </si>
  <si>
    <t>Jeff Duncan</t>
  </si>
  <si>
    <t>SC-04</t>
  </si>
  <si>
    <t>William Timmons</t>
  </si>
  <si>
    <t>SC-05</t>
  </si>
  <si>
    <t>Ralph Norman</t>
  </si>
  <si>
    <t>SC-06</t>
  </si>
  <si>
    <t>Jim Clyburn</t>
  </si>
  <si>
    <t>SC-07</t>
  </si>
  <si>
    <t>Russell Fry</t>
  </si>
  <si>
    <t>SD-AL</t>
  </si>
  <si>
    <t>Dusty Johnson</t>
  </si>
  <si>
    <t>TN-01</t>
  </si>
  <si>
    <t>Diana Harshbarger</t>
  </si>
  <si>
    <t>TN-02</t>
  </si>
  <si>
    <t>Tim Burchett</t>
  </si>
  <si>
    <t>TN-03</t>
  </si>
  <si>
    <t>Chuck Fleischmann</t>
  </si>
  <si>
    <t>TN-04</t>
  </si>
  <si>
    <t>Scott DesJarlais</t>
  </si>
  <si>
    <t>TN-05</t>
  </si>
  <si>
    <t>Andy Ogles</t>
  </si>
  <si>
    <t>TN-06</t>
  </si>
  <si>
    <t>John Rose</t>
  </si>
  <si>
    <t>TN-07</t>
  </si>
  <si>
    <t>Mark Green</t>
  </si>
  <si>
    <t>TN-08</t>
  </si>
  <si>
    <t>David Kustoff</t>
  </si>
  <si>
    <t>TN-09</t>
  </si>
  <si>
    <t>Steve Cohen</t>
  </si>
  <si>
    <t>TX-01</t>
  </si>
  <si>
    <t>Nathaniel Moran</t>
  </si>
  <si>
    <t>TX-02</t>
  </si>
  <si>
    <t>Dan Crenshaw</t>
  </si>
  <si>
    <t>TX-03</t>
  </si>
  <si>
    <t>Keith Self</t>
  </si>
  <si>
    <t>TX-04</t>
  </si>
  <si>
    <t>Pat Fallon</t>
  </si>
  <si>
    <t>TX-05</t>
  </si>
  <si>
    <t>Lance Gooden</t>
  </si>
  <si>
    <t>TX-06</t>
  </si>
  <si>
    <t>Jake Ellzey</t>
  </si>
  <si>
    <t>TX-07</t>
  </si>
  <si>
    <t>Lizzie Fletcher</t>
  </si>
  <si>
    <t>TX-08</t>
  </si>
  <si>
    <t>Morgan Luttrell</t>
  </si>
  <si>
    <t>TX-09</t>
  </si>
  <si>
    <t>Al Green</t>
  </si>
  <si>
    <t>TX-10</t>
  </si>
  <si>
    <t>Michael McCaul</t>
  </si>
  <si>
    <t>TX-11</t>
  </si>
  <si>
    <t>August Pfluger</t>
  </si>
  <si>
    <t>TX-12</t>
  </si>
  <si>
    <t>Kay Granger</t>
  </si>
  <si>
    <t>TX-13</t>
  </si>
  <si>
    <t>Ronny Jackson</t>
  </si>
  <si>
    <t>TX-14</t>
  </si>
  <si>
    <t>Randy Weber</t>
  </si>
  <si>
    <t>TX-15</t>
  </si>
  <si>
    <t>Monica De La Cruz</t>
  </si>
  <si>
    <t>TX-16</t>
  </si>
  <si>
    <t>Veronica Escobar</t>
  </si>
  <si>
    <t>TX-17</t>
  </si>
  <si>
    <t>Pete Sessions</t>
  </si>
  <si>
    <t>TX-18</t>
  </si>
  <si>
    <t>Sheila Jackson Lee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</si>
  <si>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</si>
  <si>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</si>
  <si>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</si>
  <si>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</si>
  <si>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</si>
  <si>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</si>
  <si>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</si>
  <si>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</si>
  <si>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</si>
  <si>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Tony Gonzales</t>
  </si>
  <si>
    <t>TX-24</t>
  </si>
  <si>
    <t>Beth Van Duyne</t>
  </si>
  <si>
    <t>TX-25</t>
  </si>
  <si>
    <t>Roger Williams</t>
  </si>
  <si>
    <t>TX-26</t>
  </si>
  <si>
    <t>Michael Burgess</t>
  </si>
  <si>
    <t>TX-27</t>
  </si>
  <si>
    <t>Michael Cloud</t>
  </si>
  <si>
    <t>TX-28</t>
  </si>
  <si>
    <t>Henry Cuellar</t>
  </si>
  <si>
    <t>TX-29</t>
  </si>
  <si>
    <t>Sylvia Garcia</t>
  </si>
  <si>
    <t>TX-30</t>
  </si>
  <si>
    <t>Jasmine Crockett</t>
  </si>
  <si>
    <t>TX-31</t>
  </si>
  <si>
    <t>John Carter</t>
  </si>
  <si>
    <t>TX-32</t>
  </si>
  <si>
    <t>Colin Allred</t>
  </si>
  <si>
    <t>TX-33</t>
  </si>
  <si>
    <t>Marc Veasey</t>
  </si>
  <si>
    <t>TX-34</t>
  </si>
  <si>
    <t>Vicente Gonzalez</t>
  </si>
  <si>
    <t>TX-35</t>
  </si>
  <si>
    <t>Greg Casar</t>
  </si>
  <si>
    <t>TX-36</t>
  </si>
  <si>
    <t>Brian Babin</t>
  </si>
  <si>
    <t>TX-37</t>
  </si>
  <si>
    <t>Lloyd Doggett</t>
  </si>
  <si>
    <t>TX-38</t>
  </si>
  <si>
    <t>Wesley Hunt</t>
  </si>
  <si>
    <t>UT-01</t>
  </si>
  <si>
    <t>Blake Moore</t>
  </si>
  <si>
    <t>UT-02</t>
  </si>
  <si>
    <t>Celeste Maloy</t>
  </si>
  <si>
    <t>UT-03</t>
  </si>
  <si>
    <t>John Curtis</t>
  </si>
  <si>
    <t>UT-04</t>
  </si>
  <si>
    <t>Burgess Owens</t>
  </si>
  <si>
    <t>VA-01</t>
  </si>
  <si>
    <t>Rob Wittman</t>
  </si>
  <si>
    <t>VA-02</t>
  </si>
  <si>
    <t>Jen Kiggans</t>
  </si>
  <si>
    <t>VA-03</t>
  </si>
  <si>
    <t>Bobby Scott</t>
  </si>
  <si>
    <t>VA-04</t>
  </si>
  <si>
    <t>Jennifer McClellan</t>
  </si>
  <si>
    <t>VA-05</t>
  </si>
  <si>
    <t>Bob Good</t>
  </si>
  <si>
    <t>VA-06</t>
  </si>
  <si>
    <t>Ben Cline</t>
  </si>
  <si>
    <t>VA-07</t>
  </si>
  <si>
    <t>Abigail Spanberger</t>
  </si>
  <si>
    <t>VA-08</t>
  </si>
  <si>
    <t>Don Beyer</t>
  </si>
  <si>
    <t>VA-09</t>
  </si>
  <si>
    <t>Morgan Griffith</t>
  </si>
  <si>
    <t>VA-10</t>
  </si>
  <si>
    <t>Jennifer Wexton</t>
  </si>
  <si>
    <t>VA-11</t>
  </si>
  <si>
    <t>Gerry Connolly</t>
  </si>
  <si>
    <t>VT-AL</t>
  </si>
  <si>
    <t>Becca Balint</t>
  </si>
  <si>
    <t>WA-01</t>
  </si>
  <si>
    <t>Suzan DelBene</t>
  </si>
  <si>
    <t>WA-02</t>
  </si>
  <si>
    <t>Rick Larsen</t>
  </si>
  <si>
    <t>WA-03</t>
  </si>
  <si>
    <t>Marie Gluesenkamp Perez</t>
  </si>
  <si>
    <t>WA-04</t>
  </si>
  <si>
    <t>Dan Newhouse</t>
  </si>
  <si>
    <t>WA-05</t>
  </si>
  <si>
    <t>Cathy McMorris Rodgers</t>
  </si>
  <si>
    <t>WA-06</t>
  </si>
  <si>
    <t>Derek Kilmer</t>
  </si>
  <si>
    <t>WA-07</t>
  </si>
  <si>
    <t>Pramila Jayapal</t>
  </si>
  <si>
    <t>WA-08</t>
  </si>
  <si>
    <t>Kim Schrier</t>
  </si>
  <si>
    <t>WA-09</t>
  </si>
  <si>
    <t>Adam Smith</t>
  </si>
  <si>
    <t>WA-10</t>
  </si>
  <si>
    <t>Marilyn Strickland</t>
  </si>
  <si>
    <t>WI-01</t>
  </si>
  <si>
    <t>Bryan Steil</t>
  </si>
  <si>
    <t>WI-02</t>
  </si>
  <si>
    <t>Mark Pocan</t>
  </si>
  <si>
    <t>WI-03</t>
  </si>
  <si>
    <t>Derrick Van Orden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</si>
  <si>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</si>
  <si>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</si>
  <si>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</si>
  <si>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</si>
  <si>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</si>
  <si>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</si>
  <si>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</si>
  <si>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</si>
  <si>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</si>
  <si>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Mike Gallagher</t>
  </si>
  <si>
    <t>WV-01</t>
  </si>
  <si>
    <t>Carol Miller</t>
  </si>
  <si>
    <t>WV-02</t>
  </si>
  <si>
    <t>Alex Mooney</t>
  </si>
  <si>
    <t>WY-AL</t>
  </si>
  <si>
    <t>Harriet Hageman</t>
  </si>
  <si>
    <t>Total</t>
  </si>
  <si>
    <t>Biden %</t>
  </si>
  <si>
    <t>Trump %</t>
  </si>
  <si>
    <r>
      <rPr/>
      <t xml:space="preserve">See also accompanying </t>
    </r>
    <r>
      <rPr>
        <color rgb="FF1155CC"/>
        <u/>
      </rPr>
      <t>post</t>
    </r>
    <r>
      <rPr/>
      <t xml:space="preserve"> for maps.</t>
    </r>
  </si>
  <si>
    <r>
      <rPr/>
      <t xml:space="preserve">For an explanation of our calculation methods, see this </t>
    </r>
    <r>
      <rPr>
        <color rgb="FF1155CC"/>
        <u/>
      </rPr>
      <t>post.</t>
    </r>
    <r>
      <rPr/>
      <t xml:space="preserve"> </t>
    </r>
  </si>
  <si>
    <r>
      <rPr/>
      <t xml:space="preserve">All our elections data can be found at </t>
    </r>
    <r>
      <rPr>
        <color rgb="FF1155CC"/>
        <u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</si>
  <si>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</si>
  <si>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</si>
  <si>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</si>
  <si>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rPr/>
      <t xml:space="preserve">Please cite us by name, Daily Kos Elections, and website, </t>
    </r>
    <r>
      <rPr>
        <color rgb="FF1155CC"/>
        <u/>
      </rPr>
      <t>dailykosdata.com</t>
    </r>
    <r>
      <rPr/>
      <t xml:space="preserve">, including a link in online material </t>
    </r>
  </si>
  <si>
    <t>Academics</t>
  </si>
  <si>
    <t>Authors: Jeff Singer, Daniel Donner, Stephen Wolf, and David Nir</t>
  </si>
  <si>
    <t>Title: Daily Kos Elections 2020 presidential election results for congressional districts used in 2022 elections</t>
  </si>
  <si>
    <t>Date: 2022</t>
  </si>
  <si>
    <t>Publisher: Daily Kos Elections</t>
  </si>
  <si>
    <r>
      <rPr/>
      <t xml:space="preserve">URL: </t>
    </r>
    <r>
      <rPr>
        <color rgb="FF1155CC"/>
        <u/>
      </rPr>
      <t>https://docs.google.com/spreadsheets/d/1CKngqOp8fzU22JOlypoxNsxL6KSAH920Whc-rd7ebuM/</t>
    </r>
  </si>
  <si>
    <r>
      <rPr/>
      <t xml:space="preserve">-or- </t>
    </r>
    <r>
      <rPr>
        <color rgb="FF1155CC"/>
        <u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</si>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</sst>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%"/>
  </numFmts>
  <fonts count="9">
    <font>
      <sz val="10.0"/>
      <color rgb="FF000000"/>
      <name val="Arial"/>
    </font>
    <font>
      <b/>
      <sz val="10.0"/>
      <name val="Arial"/>
    </font>
    <font>
      <sz val="10.0"/>
      <name val="Arial"/>
    </font>
    <font>
      <sz val="10.0"/>
      <color rgb="FFFF0000"/>
      <name val="Arial"/>
    </font>
    <font>
      <sz val="10.0"/>
      <color rgb="FF0000FF"/>
      <name val="Arial"/>
    </font>
    <font>
      <b/>
    </font>
    <font/>
    <font>
      <color rgb="FF000000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vertical="bottom"/>
    </xf>
    <xf borderId="0" fillId="2" fontId="1" numFmtId="164" xfId="0" applyAlignment="1" applyFont="1" applyNumberFormat="1">
      <alignment horizontal="center" vertical="bottom"/>
    </xf>
    <xf borderId="0" fillId="3" fontId="1" numFmtId="165" xfId="0" applyAlignment="1" applyFill="1" applyFont="1" applyNumberFormat="1">
      <alignment horizontal="center" vertical="bottom"/>
    </xf>
    <xf borderId="0" fillId="3" fontId="1" numFmtId="165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vertical="top"/>
    </xf>
    <xf borderId="0" fillId="0" fontId="0" numFmtId="164" xfId="0" applyAlignment="1" applyFont="1" applyNumberFormat="1">
      <alignment readingOrder="0" shrinkToFit="0" vertical="bottom" wrapText="0"/>
    </xf>
    <xf borderId="0" fillId="0" fontId="0" numFmtId="164" xfId="0" applyAlignment="1" applyFont="1" applyNumberFormat="1">
      <alignment horizontal="center" readingOrder="0" shrinkToFit="0" vertical="bottom" wrapText="0"/>
    </xf>
    <xf borderId="0" fillId="0" fontId="0" numFmtId="165" xfId="0" applyAlignment="1" applyFont="1" applyNumberFormat="1">
      <alignment horizontal="right" readingOrder="0" shrinkToFit="0" vertical="top" wrapText="0"/>
    </xf>
    <xf borderId="0" fillId="0" fontId="3" numFmtId="165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horizontal="right" readingOrder="0" shrinkToFit="0" vertical="top" wrapText="0"/>
    </xf>
    <xf borderId="0" fillId="0" fontId="0" numFmtId="0" xfId="0" applyAlignment="1" applyFont="1">
      <alignment horizontal="center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4" fontId="5" numFmtId="164" xfId="0" applyAlignment="1" applyFill="1" applyFont="1" applyNumberFormat="1">
      <alignment horizontal="center" readingOrder="0"/>
    </xf>
    <xf borderId="0" fillId="3" fontId="5" numFmtId="3" xfId="0" applyAlignment="1" applyFont="1" applyNumberFormat="1">
      <alignment horizontal="center" readingOrder="0" shrinkToFit="0" wrapText="1"/>
    </xf>
    <xf borderId="0" fillId="3" fontId="5" numFmtId="3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0" fontId="6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 vertical="bottom"/>
    </xf>
    <xf borderId="0" fillId="0" fontId="7" numFmtId="164" xfId="0" applyAlignment="1" applyFont="1" applyNumberFormat="1">
      <alignment horizontal="center" readingOrder="0" vertical="bottom"/>
    </xf>
    <xf borderId="0" fillId="0" fontId="0" numFmtId="3" xfId="0" applyAlignment="1" applyFont="1" applyNumberFormat="1">
      <alignment readingOrder="0" shrinkToFit="0" wrapText="1"/>
    </xf>
    <xf borderId="0" fillId="0" fontId="0" numFmtId="3" xfId="0" applyAlignment="1" applyFont="1" applyNumberFormat="1">
      <alignment readingOrder="0"/>
    </xf>
    <xf borderId="0" fillId="0" fontId="0" numFmtId="166" xfId="0" applyAlignment="1" applyFont="1" applyNumberFormat="1">
      <alignment readingOrder="0"/>
    </xf>
    <xf borderId="0" fillId="0" fontId="0" numFmtId="3" xfId="0" applyAlignment="1" applyFont="1" applyNumberFormat="1">
      <alignment vertical="bottom"/>
    </xf>
    <xf borderId="0" fillId="0" fontId="0" numFmtId="166" xfId="0" applyAlignment="1" applyFont="1" applyNumberFormat="1">
      <alignment vertical="bottom"/>
    </xf>
    <xf borderId="0" fillId="0" fontId="0" numFmtId="3" xfId="0" applyAlignment="1" applyFont="1" applyNumberFormat="1">
      <alignment horizontal="right" shrinkToFit="0" vertical="bottom" wrapText="0"/>
    </xf>
    <xf borderId="0" fillId="0" fontId="0" numFmtId="166" xfId="0" applyAlignment="1" applyFont="1" applyNumberFormat="1">
      <alignment horizontal="right" shrinkToFit="0" vertical="bottom" wrapText="0"/>
    </xf>
    <xf borderId="0" fillId="0" fontId="0" numFmtId="3" xfId="0" applyAlignment="1" applyFont="1" applyNumberFormat="1">
      <alignment shrinkToFit="0" vertical="bottom" wrapText="0"/>
    </xf>
    <xf borderId="0" fillId="0" fontId="0" numFmtId="166" xfId="0" applyAlignment="1" applyFont="1" applyNumberFormat="1">
      <alignment shrinkToFit="0" vertical="bottom" wrapText="0"/>
    </xf>
    <xf borderId="0" fillId="0" fontId="6" numFmtId="3" xfId="0" applyAlignment="1" applyFont="1" applyNumberFormat="1">
      <alignment readingOrder="0" shrinkToFit="0" wrapText="1"/>
    </xf>
    <xf borderId="0" fillId="0" fontId="6" numFmtId="3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  <tableStyles count="2">
    <tableStyle count="2" pivot="0" name="Results-style">
      <tableStyleElement dxfId="1" type="firstRowStripe"/>
      <tableStyleElement dxfId="2" type="secondRowStripe"/>
    </tableStyle>
    <tableStyle count="2" pivot="0" name="Vote total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43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sult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H436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Vote tot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kos.com/stories/2022/11/14/1163009/-Daily-Kos-Elections-presidential-results-by-congressional-district-for-2020" TargetMode="External"/><Relationship Id="rId2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3" Type="http://schemas.openxmlformats.org/officeDocument/2006/relationships/hyperlink" Target="http://dailykosdata.com/" TargetMode="External"/><Relationship Id="rId4" Type="http://schemas.openxmlformats.org/officeDocument/2006/relationships/hyperlink" Target="http://dailykosdata.com/" TargetMode="External"/><Relationship Id="rId5" Type="http://schemas.openxmlformats.org/officeDocument/2006/relationships/hyperlink" Target="https://docs.google.com/spreadsheets/d/1CKngqOp8fzU22JOlypoxNsxL6KSAH920Whc-rd7ebuM/" TargetMode="External"/><Relationship Id="rId6" Type="http://schemas.openxmlformats.org/officeDocument/2006/relationships/hyperlink" Target="http://dailykosdata.com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1.5"/>
    <col customWidth="1" min="3" max="3" width="5.13"/>
    <col customWidth="1" min="4" max="6" width="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>
      <c r="A2" s="5" t="s">
        <v>6</v>
      </c>
      <c r="B2" s="6" t="s">
        <v>7</v>
      </c>
      <c r="C2" s="7" t="s">
        <v>8</v>
      </c>
      <c r="D2" s="8">
        <v>43.00652</v>
      </c>
      <c r="E2" s="8">
        <v>53.12289</v>
      </c>
      <c r="F2" s="9">
        <v>-10.116369999999996</v>
      </c>
    </row>
    <row r="3">
      <c r="A3" s="5" t="s">
        <v>9</v>
      </c>
      <c r="B3" s="6" t="s">
        <v>10</v>
      </c>
      <c r="C3" s="7" t="s">
        <v>11</v>
      </c>
      <c r="D3" s="8">
        <v>35.33698</v>
      </c>
      <c r="E3" s="8">
        <v>63.63646</v>
      </c>
      <c r="F3" s="9">
        <v>-28.299480000000003</v>
      </c>
    </row>
    <row r="4">
      <c r="A4" s="5" t="s">
        <v>12</v>
      </c>
      <c r="B4" s="6" t="s">
        <v>13</v>
      </c>
      <c r="C4" s="7" t="s">
        <v>11</v>
      </c>
      <c r="D4" s="8">
        <v>34.78985</v>
      </c>
      <c r="E4" s="8">
        <v>64.23528</v>
      </c>
      <c r="F4" s="9">
        <v>-29.44543</v>
      </c>
    </row>
    <row r="5">
      <c r="A5" s="5" t="s">
        <v>14</v>
      </c>
      <c r="B5" s="6" t="s">
        <v>15</v>
      </c>
      <c r="C5" s="7" t="s">
        <v>11</v>
      </c>
      <c r="D5" s="8">
        <v>32.45139</v>
      </c>
      <c r="E5" s="8">
        <v>66.56136</v>
      </c>
      <c r="F5" s="9">
        <v>-34.10996999999999</v>
      </c>
    </row>
    <row r="6">
      <c r="A6" s="5" t="s">
        <v>16</v>
      </c>
      <c r="B6" s="6" t="s">
        <v>17</v>
      </c>
      <c r="C6" s="7" t="s">
        <v>11</v>
      </c>
      <c r="D6" s="8">
        <v>18.61475</v>
      </c>
      <c r="E6" s="8">
        <v>80.41391</v>
      </c>
      <c r="F6" s="9">
        <v>-61.79916</v>
      </c>
    </row>
    <row r="7">
      <c r="A7" s="5" t="s">
        <v>18</v>
      </c>
      <c r="B7" s="6" t="s">
        <v>19</v>
      </c>
      <c r="C7" s="7" t="s">
        <v>11</v>
      </c>
      <c r="D7" s="8">
        <v>35.6352</v>
      </c>
      <c r="E7" s="8">
        <v>62.73161</v>
      </c>
      <c r="F7" s="9">
        <v>-27.096410000000006</v>
      </c>
    </row>
    <row r="8">
      <c r="A8" s="5" t="s">
        <v>20</v>
      </c>
      <c r="B8" s="6" t="s">
        <v>21</v>
      </c>
      <c r="C8" s="7" t="s">
        <v>11</v>
      </c>
      <c r="D8" s="8">
        <v>34.4488</v>
      </c>
      <c r="E8" s="8">
        <v>64.35532</v>
      </c>
      <c r="F8" s="9">
        <v>-29.906520000000008</v>
      </c>
    </row>
    <row r="9">
      <c r="A9" s="5" t="s">
        <v>22</v>
      </c>
      <c r="B9" s="6" t="s">
        <v>23</v>
      </c>
      <c r="C9" s="7" t="s">
        <v>8</v>
      </c>
      <c r="D9" s="8">
        <v>65.62376</v>
      </c>
      <c r="E9" s="8">
        <v>33.60224</v>
      </c>
      <c r="F9" s="10">
        <v>32.02152</v>
      </c>
    </row>
    <row r="10">
      <c r="A10" s="5" t="s">
        <v>24</v>
      </c>
      <c r="B10" s="6" t="s">
        <v>25</v>
      </c>
      <c r="C10" s="7" t="s">
        <v>11</v>
      </c>
      <c r="D10" s="8">
        <v>28.0747</v>
      </c>
      <c r="E10" s="8">
        <v>68.981</v>
      </c>
      <c r="F10" s="9">
        <v>-40.906299999999995</v>
      </c>
    </row>
    <row r="11">
      <c r="A11" s="5" t="s">
        <v>26</v>
      </c>
      <c r="B11" s="6" t="s">
        <v>27</v>
      </c>
      <c r="C11" s="7" t="s">
        <v>11</v>
      </c>
      <c r="D11" s="8">
        <v>42.11313</v>
      </c>
      <c r="E11" s="8">
        <v>55.23764</v>
      </c>
      <c r="F11" s="9">
        <v>-13.12451</v>
      </c>
    </row>
    <row r="12">
      <c r="A12" s="5" t="s">
        <v>28</v>
      </c>
      <c r="B12" s="6" t="s">
        <v>29</v>
      </c>
      <c r="C12" s="7" t="s">
        <v>11</v>
      </c>
      <c r="D12" s="8">
        <v>36.79273</v>
      </c>
      <c r="E12" s="8">
        <v>60.20968</v>
      </c>
      <c r="F12" s="9">
        <v>-23.41695</v>
      </c>
    </row>
    <row r="13">
      <c r="A13" s="5" t="s">
        <v>30</v>
      </c>
      <c r="B13" s="6" t="s">
        <v>31</v>
      </c>
      <c r="C13" s="7" t="s">
        <v>11</v>
      </c>
      <c r="D13" s="8">
        <v>31.0016</v>
      </c>
      <c r="E13" s="8">
        <v>66.24822</v>
      </c>
      <c r="F13" s="9">
        <v>-35.24662000000001</v>
      </c>
    </row>
    <row r="14">
      <c r="A14" s="5" t="s">
        <v>32</v>
      </c>
      <c r="B14" s="6" t="s">
        <v>33</v>
      </c>
      <c r="C14" s="7" t="s">
        <v>11</v>
      </c>
      <c r="D14" s="8">
        <v>50.10688</v>
      </c>
      <c r="E14" s="8">
        <v>48.62156</v>
      </c>
      <c r="F14" s="10">
        <v>1.4853199999999944</v>
      </c>
    </row>
    <row r="15">
      <c r="A15" s="5" t="s">
        <v>34</v>
      </c>
      <c r="B15" s="6" t="s">
        <v>35</v>
      </c>
      <c r="C15" s="7" t="s">
        <v>11</v>
      </c>
      <c r="D15" s="8">
        <v>45.29072</v>
      </c>
      <c r="E15" s="8">
        <v>53.16609</v>
      </c>
      <c r="F15" s="9">
        <v>-7.875369999999997</v>
      </c>
    </row>
    <row r="16">
      <c r="A16" s="5" t="s">
        <v>36</v>
      </c>
      <c r="B16" s="6" t="s">
        <v>37</v>
      </c>
      <c r="C16" s="7" t="s">
        <v>8</v>
      </c>
      <c r="D16" s="8">
        <v>74.50999</v>
      </c>
      <c r="E16" s="8">
        <v>23.88015</v>
      </c>
      <c r="F16" s="10">
        <v>50.62984</v>
      </c>
    </row>
    <row r="17">
      <c r="A17" s="5" t="s">
        <v>38</v>
      </c>
      <c r="B17" s="6" t="s">
        <v>39</v>
      </c>
      <c r="C17" s="7" t="s">
        <v>8</v>
      </c>
      <c r="D17" s="8">
        <v>54.16936</v>
      </c>
      <c r="E17" s="8">
        <v>43.86981</v>
      </c>
      <c r="F17" s="10">
        <v>10.299549999999996</v>
      </c>
    </row>
    <row r="18">
      <c r="A18" s="5" t="s">
        <v>40</v>
      </c>
      <c r="B18" s="6" t="s">
        <v>41</v>
      </c>
      <c r="C18" s="7" t="s">
        <v>11</v>
      </c>
      <c r="D18" s="8">
        <v>41.0325</v>
      </c>
      <c r="E18" s="8">
        <v>57.4114</v>
      </c>
      <c r="F18" s="9">
        <v>-16.3789</v>
      </c>
    </row>
    <row r="19">
      <c r="A19" s="5" t="s">
        <v>42</v>
      </c>
      <c r="B19" s="6" t="s">
        <v>43</v>
      </c>
      <c r="C19" s="7" t="s">
        <v>11</v>
      </c>
      <c r="D19" s="8">
        <v>49.27922</v>
      </c>
      <c r="E19" s="8">
        <v>49.20672</v>
      </c>
      <c r="F19" s="10">
        <v>0.07250000000000512</v>
      </c>
    </row>
    <row r="20">
      <c r="A20" s="5" t="s">
        <v>44</v>
      </c>
      <c r="B20" s="6" t="s">
        <v>45</v>
      </c>
      <c r="C20" s="7" t="s">
        <v>8</v>
      </c>
      <c r="D20" s="8">
        <v>65.64462</v>
      </c>
      <c r="E20" s="8">
        <v>32.87283</v>
      </c>
      <c r="F20" s="10">
        <v>32.77179</v>
      </c>
    </row>
    <row r="21">
      <c r="A21" s="5" t="s">
        <v>46</v>
      </c>
      <c r="B21" s="6" t="s">
        <v>47</v>
      </c>
      <c r="C21" s="7" t="s">
        <v>11</v>
      </c>
      <c r="D21" s="8">
        <v>42.53686</v>
      </c>
      <c r="E21" s="8">
        <v>56.07144</v>
      </c>
      <c r="F21" s="9">
        <v>-13.534580000000005</v>
      </c>
    </row>
    <row r="22">
      <c r="A22" s="5" t="s">
        <v>48</v>
      </c>
      <c r="B22" s="6" t="s">
        <v>49</v>
      </c>
      <c r="C22" s="7" t="s">
        <v>11</v>
      </c>
      <c r="D22" s="8">
        <v>36.39635</v>
      </c>
      <c r="E22" s="8">
        <v>62.15979</v>
      </c>
      <c r="F22" s="9">
        <v>-25.763440000000003</v>
      </c>
    </row>
    <row r="23">
      <c r="A23" s="5" t="s">
        <v>50</v>
      </c>
      <c r="B23" s="6" t="s">
        <v>51</v>
      </c>
      <c r="C23" s="7" t="s">
        <v>11</v>
      </c>
      <c r="D23" s="8">
        <v>39.21724</v>
      </c>
      <c r="E23" s="8">
        <v>58.32371</v>
      </c>
      <c r="F23" s="9">
        <v>-19.10647</v>
      </c>
    </row>
    <row r="24">
      <c r="A24" s="5" t="s">
        <v>52</v>
      </c>
      <c r="B24" s="6" t="s">
        <v>53</v>
      </c>
      <c r="C24" s="7" t="s">
        <v>8</v>
      </c>
      <c r="D24" s="8">
        <v>73.52312</v>
      </c>
      <c r="E24" s="8">
        <v>24.04364</v>
      </c>
      <c r="F24" s="10">
        <v>49.47948000000001</v>
      </c>
    </row>
    <row r="25">
      <c r="A25" s="5" t="s">
        <v>54</v>
      </c>
      <c r="B25" s="6" t="s">
        <v>55</v>
      </c>
      <c r="C25" s="7" t="s">
        <v>11</v>
      </c>
      <c r="D25" s="8">
        <v>47.86755</v>
      </c>
      <c r="E25" s="8">
        <v>49.6692</v>
      </c>
      <c r="F25" s="9">
        <v>-1.801649999999995</v>
      </c>
    </row>
    <row r="26">
      <c r="A26" s="5" t="s">
        <v>56</v>
      </c>
      <c r="B26" s="6" t="s">
        <v>57</v>
      </c>
      <c r="C26" s="7" t="s">
        <v>8</v>
      </c>
      <c r="D26" s="8">
        <v>67.05671</v>
      </c>
      <c r="E26" s="8">
        <v>30.49858</v>
      </c>
      <c r="F26" s="10">
        <v>36.55812999999999</v>
      </c>
    </row>
    <row r="27">
      <c r="A27" s="5" t="s">
        <v>58</v>
      </c>
      <c r="B27" s="6" t="s">
        <v>59</v>
      </c>
      <c r="C27" s="7" t="s">
        <v>11</v>
      </c>
      <c r="D27" s="8">
        <v>42.74109</v>
      </c>
      <c r="E27" s="8">
        <v>55.04442</v>
      </c>
      <c r="F27" s="9">
        <v>-12.303330000000003</v>
      </c>
    </row>
    <row r="28">
      <c r="A28" s="5" t="s">
        <v>60</v>
      </c>
      <c r="B28" s="6" t="s">
        <v>61</v>
      </c>
      <c r="C28" s="7" t="s">
        <v>8</v>
      </c>
      <c r="D28" s="8">
        <v>57.86141</v>
      </c>
      <c r="E28" s="8">
        <v>39.44025</v>
      </c>
      <c r="F28" s="10">
        <v>18.42116</v>
      </c>
    </row>
    <row r="29">
      <c r="A29" s="5" t="s">
        <v>62</v>
      </c>
      <c r="B29" s="6" t="s">
        <v>63</v>
      </c>
      <c r="C29" s="7" t="s">
        <v>8</v>
      </c>
      <c r="D29" s="8">
        <v>67.4377</v>
      </c>
      <c r="E29" s="8">
        <v>30.26828</v>
      </c>
      <c r="F29" s="10">
        <v>37.16942</v>
      </c>
    </row>
    <row r="30">
      <c r="A30" s="5" t="s">
        <v>64</v>
      </c>
      <c r="B30" s="6" t="s">
        <v>65</v>
      </c>
      <c r="C30" s="7" t="s">
        <v>8</v>
      </c>
      <c r="D30" s="8">
        <v>75.95305</v>
      </c>
      <c r="E30" s="8">
        <v>21.95483</v>
      </c>
      <c r="F30" s="10">
        <v>53.99822</v>
      </c>
    </row>
    <row r="31">
      <c r="A31" s="5" t="s">
        <v>66</v>
      </c>
      <c r="B31" s="6" t="s">
        <v>67</v>
      </c>
      <c r="C31" s="7" t="s">
        <v>8</v>
      </c>
      <c r="D31" s="8">
        <v>55.23548</v>
      </c>
      <c r="E31" s="8">
        <v>42.62198</v>
      </c>
      <c r="F31" s="10">
        <v>12.613500000000002</v>
      </c>
    </row>
    <row r="32">
      <c r="A32" s="5" t="s">
        <v>68</v>
      </c>
      <c r="B32" s="6" t="s">
        <v>69</v>
      </c>
      <c r="C32" s="7" t="s">
        <v>8</v>
      </c>
      <c r="D32" s="8">
        <v>68.63314</v>
      </c>
      <c r="E32" s="8">
        <v>29.26719</v>
      </c>
      <c r="F32" s="10">
        <v>39.36595</v>
      </c>
    </row>
    <row r="33">
      <c r="A33" s="5" t="s">
        <v>70</v>
      </c>
      <c r="B33" s="6" t="s">
        <v>71</v>
      </c>
      <c r="C33" s="7" t="s">
        <v>8</v>
      </c>
      <c r="D33" s="8">
        <v>86.28308</v>
      </c>
      <c r="E33" s="8">
        <v>11.73407</v>
      </c>
      <c r="F33" s="10">
        <v>74.54901</v>
      </c>
    </row>
    <row r="34">
      <c r="A34" s="5" t="s">
        <v>72</v>
      </c>
      <c r="B34" s="6" t="s">
        <v>73</v>
      </c>
      <c r="C34" s="7" t="s">
        <v>8</v>
      </c>
      <c r="D34" s="8">
        <v>89.30599</v>
      </c>
      <c r="E34" s="8">
        <v>8.61846</v>
      </c>
      <c r="F34" s="10">
        <v>80.68753</v>
      </c>
    </row>
    <row r="35">
      <c r="A35" s="5" t="s">
        <v>74</v>
      </c>
      <c r="B35" s="6" t="s">
        <v>75</v>
      </c>
      <c r="C35" s="7" t="s">
        <v>11</v>
      </c>
      <c r="D35" s="8">
        <v>54.29451</v>
      </c>
      <c r="E35" s="8">
        <v>43.4414</v>
      </c>
      <c r="F35" s="10">
        <v>10.853110000000001</v>
      </c>
    </row>
    <row r="36">
      <c r="A36" s="5" t="s">
        <v>76</v>
      </c>
      <c r="B36" s="6" t="s">
        <v>77</v>
      </c>
      <c r="C36" s="7" t="s">
        <v>8</v>
      </c>
      <c r="D36" s="8">
        <v>71.67176</v>
      </c>
      <c r="E36" s="8">
        <v>26.21586</v>
      </c>
      <c r="F36" s="10">
        <v>45.45590000000001</v>
      </c>
    </row>
    <row r="37">
      <c r="A37" s="5" t="s">
        <v>78</v>
      </c>
      <c r="B37" s="6" t="s">
        <v>79</v>
      </c>
      <c r="C37" s="7" t="s">
        <v>8</v>
      </c>
      <c r="D37" s="8">
        <v>77.72699</v>
      </c>
      <c r="E37" s="8">
        <v>20.38046</v>
      </c>
      <c r="F37" s="10">
        <v>57.34653</v>
      </c>
    </row>
    <row r="38">
      <c r="A38" s="5" t="s">
        <v>80</v>
      </c>
      <c r="B38" s="6" t="s">
        <v>81</v>
      </c>
      <c r="C38" s="7" t="s">
        <v>8</v>
      </c>
      <c r="D38" s="8">
        <v>75.42687</v>
      </c>
      <c r="E38" s="8">
        <v>22.40168</v>
      </c>
      <c r="F38" s="10">
        <v>53.025189999999995</v>
      </c>
    </row>
    <row r="39">
      <c r="A39" s="5" t="s">
        <v>82</v>
      </c>
      <c r="B39" s="6" t="s">
        <v>83</v>
      </c>
      <c r="C39" s="7" t="s">
        <v>8</v>
      </c>
      <c r="D39" s="8">
        <v>72.72053</v>
      </c>
      <c r="E39" s="8">
        <v>25.30018</v>
      </c>
      <c r="F39" s="10">
        <v>47.42035</v>
      </c>
    </row>
    <row r="40">
      <c r="A40" s="5" t="s">
        <v>84</v>
      </c>
      <c r="B40" s="6" t="s">
        <v>85</v>
      </c>
      <c r="C40" s="7" t="s">
        <v>8</v>
      </c>
      <c r="D40" s="8">
        <v>70.95219</v>
      </c>
      <c r="E40" s="8">
        <v>26.8815</v>
      </c>
      <c r="F40" s="10">
        <v>44.07069</v>
      </c>
    </row>
    <row r="41">
      <c r="A41" s="5" t="s">
        <v>86</v>
      </c>
      <c r="B41" s="6" t="s">
        <v>87</v>
      </c>
      <c r="C41" s="7" t="s">
        <v>8</v>
      </c>
      <c r="D41" s="8">
        <v>68.65326</v>
      </c>
      <c r="E41" s="8">
        <v>29.06146</v>
      </c>
      <c r="F41" s="10">
        <v>39.591800000000006</v>
      </c>
    </row>
    <row r="42">
      <c r="A42" s="5" t="s">
        <v>88</v>
      </c>
      <c r="B42" s="6" t="s">
        <v>89</v>
      </c>
      <c r="C42" s="7" t="s">
        <v>11</v>
      </c>
      <c r="D42" s="8">
        <v>36.44183</v>
      </c>
      <c r="E42" s="8">
        <v>61.30771</v>
      </c>
      <c r="F42" s="9">
        <v>-24.865879999999997</v>
      </c>
    </row>
    <row r="43">
      <c r="A43" s="5" t="s">
        <v>90</v>
      </c>
      <c r="B43" s="6" t="s">
        <v>91</v>
      </c>
      <c r="C43" s="7" t="s">
        <v>8</v>
      </c>
      <c r="D43" s="8">
        <v>59.12112</v>
      </c>
      <c r="E43" s="8">
        <v>38.81234</v>
      </c>
      <c r="F43" s="10">
        <v>20.30878</v>
      </c>
    </row>
    <row r="44">
      <c r="A44" s="5" t="s">
        <v>92</v>
      </c>
      <c r="B44" s="6" t="s">
        <v>93</v>
      </c>
      <c r="C44" s="7" t="s">
        <v>11</v>
      </c>
      <c r="D44" s="8">
        <v>55.25394</v>
      </c>
      <c r="E44" s="8">
        <v>42.34896</v>
      </c>
      <c r="F44" s="10">
        <v>12.904980000000002</v>
      </c>
    </row>
    <row r="45">
      <c r="A45" s="5" t="s">
        <v>94</v>
      </c>
      <c r="B45" s="6" t="s">
        <v>95</v>
      </c>
      <c r="C45" s="7" t="s">
        <v>11</v>
      </c>
      <c r="D45" s="8">
        <v>43.89311</v>
      </c>
      <c r="E45" s="8">
        <v>53.7022</v>
      </c>
      <c r="F45" s="9">
        <v>-9.809089999999998</v>
      </c>
    </row>
    <row r="46">
      <c r="A46" s="5" t="s">
        <v>96</v>
      </c>
      <c r="B46" s="6" t="s">
        <v>97</v>
      </c>
      <c r="C46" s="7" t="s">
        <v>8</v>
      </c>
      <c r="D46" s="8">
        <v>63.34542</v>
      </c>
      <c r="E46" s="8">
        <v>34.29391</v>
      </c>
      <c r="F46" s="10">
        <v>29.05151</v>
      </c>
    </row>
    <row r="47">
      <c r="A47" s="5" t="s">
        <v>98</v>
      </c>
      <c r="B47" s="6" t="s">
        <v>99</v>
      </c>
      <c r="C47" s="7" t="s">
        <v>8</v>
      </c>
      <c r="D47" s="8">
        <v>56.66884</v>
      </c>
      <c r="E47" s="8">
        <v>41.37305</v>
      </c>
      <c r="F47" s="10">
        <v>15.295790000000004</v>
      </c>
    </row>
    <row r="48">
      <c r="A48" s="5" t="s">
        <v>100</v>
      </c>
      <c r="B48" s="6" t="s">
        <v>101</v>
      </c>
      <c r="C48" s="7" t="s">
        <v>8</v>
      </c>
      <c r="D48" s="8">
        <v>58.94597</v>
      </c>
      <c r="E48" s="8">
        <v>38.96926</v>
      </c>
      <c r="F48" s="10">
        <v>19.976710000000004</v>
      </c>
    </row>
    <row r="49">
      <c r="A49" s="5" t="s">
        <v>102</v>
      </c>
      <c r="B49" s="6" t="s">
        <v>103</v>
      </c>
      <c r="C49" s="7" t="s">
        <v>11</v>
      </c>
      <c r="D49" s="8">
        <v>55.08821</v>
      </c>
      <c r="E49" s="8">
        <v>42.72435</v>
      </c>
      <c r="F49" s="10">
        <v>12.363859999999995</v>
      </c>
    </row>
    <row r="50">
      <c r="A50" s="5" t="s">
        <v>104</v>
      </c>
      <c r="B50" s="6" t="s">
        <v>105</v>
      </c>
      <c r="C50" s="7" t="s">
        <v>8</v>
      </c>
      <c r="D50" s="8">
        <v>66.11717</v>
      </c>
      <c r="E50" s="8">
        <v>31.92351</v>
      </c>
      <c r="F50" s="10">
        <v>34.19366</v>
      </c>
    </row>
    <row r="51">
      <c r="A51" s="5" t="s">
        <v>106</v>
      </c>
      <c r="B51" s="6" t="s">
        <v>107</v>
      </c>
      <c r="C51" s="7" t="s">
        <v>8</v>
      </c>
      <c r="D51" s="8">
        <v>74.54384</v>
      </c>
      <c r="E51" s="8">
        <v>23.23899</v>
      </c>
      <c r="F51" s="10">
        <v>51.30485</v>
      </c>
    </row>
    <row r="52">
      <c r="A52" s="5" t="s">
        <v>108</v>
      </c>
      <c r="B52" s="6" t="s">
        <v>109</v>
      </c>
      <c r="C52" s="7" t="s">
        <v>8</v>
      </c>
      <c r="D52" s="8">
        <v>72.19677</v>
      </c>
      <c r="E52" s="8">
        <v>25.98377</v>
      </c>
      <c r="F52" s="10">
        <v>46.213</v>
      </c>
    </row>
    <row r="53">
      <c r="A53" s="5" t="s">
        <v>110</v>
      </c>
      <c r="B53" s="6" t="s">
        <v>111</v>
      </c>
      <c r="C53" s="7" t="s">
        <v>8</v>
      </c>
      <c r="D53" s="8">
        <v>64.48894</v>
      </c>
      <c r="E53" s="8">
        <v>33.438</v>
      </c>
      <c r="F53" s="10">
        <v>31.050939999999997</v>
      </c>
    </row>
    <row r="54">
      <c r="A54" s="5" t="s">
        <v>112</v>
      </c>
      <c r="B54" s="6" t="s">
        <v>113</v>
      </c>
      <c r="C54" s="7" t="s">
        <v>8</v>
      </c>
      <c r="D54" s="8">
        <v>69.48161</v>
      </c>
      <c r="E54" s="8">
        <v>28.70471</v>
      </c>
      <c r="F54" s="10">
        <v>40.776900000000005</v>
      </c>
    </row>
    <row r="55">
      <c r="A55" s="5" t="s">
        <v>114</v>
      </c>
      <c r="B55" s="6" t="s">
        <v>115</v>
      </c>
      <c r="C55" s="7" t="s">
        <v>8</v>
      </c>
      <c r="D55" s="8">
        <v>61.52821</v>
      </c>
      <c r="E55" s="8">
        <v>36.20675</v>
      </c>
      <c r="F55" s="10">
        <v>25.321460000000002</v>
      </c>
    </row>
    <row r="56">
      <c r="A56" s="5" t="s">
        <v>116</v>
      </c>
      <c r="B56" s="6" t="s">
        <v>117</v>
      </c>
      <c r="C56" s="7" t="s">
        <v>8</v>
      </c>
      <c r="D56" s="8">
        <v>80.95188</v>
      </c>
      <c r="E56" s="8">
        <v>16.70369</v>
      </c>
      <c r="F56" s="10">
        <v>64.24819</v>
      </c>
    </row>
    <row r="57">
      <c r="A57" s="5" t="s">
        <v>118</v>
      </c>
      <c r="B57" s="6" t="s">
        <v>119</v>
      </c>
      <c r="C57" s="7" t="s">
        <v>8</v>
      </c>
      <c r="D57" s="8">
        <v>62.72571</v>
      </c>
      <c r="E57" s="8">
        <v>35.10055</v>
      </c>
      <c r="F57" s="10">
        <v>27.62516</v>
      </c>
    </row>
    <row r="58">
      <c r="A58" s="5" t="s">
        <v>120</v>
      </c>
      <c r="B58" s="6" t="s">
        <v>121</v>
      </c>
      <c r="C58" s="7" t="s">
        <v>8</v>
      </c>
      <c r="D58" s="8">
        <v>71.01418</v>
      </c>
      <c r="E58" s="8">
        <v>26.91065</v>
      </c>
      <c r="F58" s="10">
        <v>44.10352999999999</v>
      </c>
    </row>
    <row r="59">
      <c r="A59" s="5" t="s">
        <v>122</v>
      </c>
      <c r="B59" s="6" t="s">
        <v>123</v>
      </c>
      <c r="C59" s="7" t="s">
        <v>8</v>
      </c>
      <c r="D59" s="8">
        <v>85.69481</v>
      </c>
      <c r="E59" s="8">
        <v>12.4212</v>
      </c>
      <c r="F59" s="10">
        <v>73.27361</v>
      </c>
    </row>
    <row r="60">
      <c r="A60" s="5" t="s">
        <v>124</v>
      </c>
      <c r="B60" s="6" t="s">
        <v>125</v>
      </c>
      <c r="C60" s="7" t="s">
        <v>8</v>
      </c>
      <c r="D60" s="8">
        <v>64.07237</v>
      </c>
      <c r="E60" s="8">
        <v>33.88788</v>
      </c>
      <c r="F60" s="10">
        <v>30.184490000000004</v>
      </c>
    </row>
    <row r="61">
      <c r="A61" s="5" t="s">
        <v>126</v>
      </c>
      <c r="B61" s="6" t="s">
        <v>127</v>
      </c>
      <c r="C61" s="7" t="s">
        <v>8</v>
      </c>
      <c r="D61" s="8">
        <v>61.9693</v>
      </c>
      <c r="E61" s="8">
        <v>35.84754</v>
      </c>
      <c r="F61" s="10">
        <v>26.121759999999995</v>
      </c>
    </row>
    <row r="62">
      <c r="A62" s="5" t="s">
        <v>128</v>
      </c>
      <c r="B62" s="6" t="s">
        <v>129</v>
      </c>
      <c r="C62" s="7" t="s">
        <v>11</v>
      </c>
      <c r="D62" s="8">
        <v>49.923</v>
      </c>
      <c r="E62" s="8">
        <v>48.04866</v>
      </c>
      <c r="F62" s="10">
        <v>1.8743400000000037</v>
      </c>
    </row>
    <row r="63">
      <c r="A63" s="5" t="s">
        <v>130</v>
      </c>
      <c r="B63" s="6" t="s">
        <v>131</v>
      </c>
      <c r="C63" s="7" t="s">
        <v>11</v>
      </c>
      <c r="D63" s="8">
        <v>48.57748</v>
      </c>
      <c r="E63" s="8">
        <v>49.65704</v>
      </c>
      <c r="F63" s="9">
        <v>-1.0795600000000007</v>
      </c>
    </row>
    <row r="64">
      <c r="A64" s="5" t="s">
        <v>132</v>
      </c>
      <c r="B64" s="6" t="s">
        <v>133</v>
      </c>
      <c r="C64" s="7" t="s">
        <v>8</v>
      </c>
      <c r="D64" s="8">
        <v>71.71973</v>
      </c>
      <c r="E64" s="8">
        <v>25.89078</v>
      </c>
      <c r="F64" s="10">
        <v>45.82895</v>
      </c>
    </row>
    <row r="65">
      <c r="A65" s="5" t="s">
        <v>134</v>
      </c>
      <c r="B65" s="6" t="s">
        <v>135</v>
      </c>
      <c r="C65" s="7" t="s">
        <v>8</v>
      </c>
      <c r="D65" s="8">
        <v>80.78945</v>
      </c>
      <c r="E65" s="8">
        <v>17.00378</v>
      </c>
      <c r="F65" s="10">
        <v>63.78567</v>
      </c>
    </row>
    <row r="66">
      <c r="A66" s="5" t="s">
        <v>136</v>
      </c>
      <c r="B66" s="6" t="s">
        <v>137</v>
      </c>
      <c r="C66" s="7" t="s">
        <v>8</v>
      </c>
      <c r="D66" s="8">
        <v>72.9214</v>
      </c>
      <c r="E66" s="8">
        <v>24.73193</v>
      </c>
      <c r="F66" s="10">
        <v>48.18947000000001</v>
      </c>
    </row>
    <row r="67">
      <c r="A67" s="5" t="s">
        <v>138</v>
      </c>
      <c r="B67" s="6" t="s">
        <v>139</v>
      </c>
      <c r="C67" s="7" t="s">
        <v>11</v>
      </c>
      <c r="D67" s="8">
        <v>52.13567</v>
      </c>
      <c r="E67" s="8">
        <v>45.95171</v>
      </c>
      <c r="F67" s="10">
        <v>6.183959999999999</v>
      </c>
    </row>
    <row r="68">
      <c r="A68" s="5" t="s">
        <v>140</v>
      </c>
      <c r="B68" s="6" t="s">
        <v>141</v>
      </c>
      <c r="C68" s="7" t="s">
        <v>8</v>
      </c>
      <c r="D68" s="8">
        <v>64.12385</v>
      </c>
      <c r="E68" s="8">
        <v>33.71611</v>
      </c>
      <c r="F68" s="10">
        <v>30.407740000000004</v>
      </c>
    </row>
    <row r="69">
      <c r="A69" s="5" t="s">
        <v>142</v>
      </c>
      <c r="B69" s="6" t="s">
        <v>143</v>
      </c>
      <c r="C69" s="7" t="s">
        <v>8</v>
      </c>
      <c r="D69" s="8">
        <v>54.47379</v>
      </c>
      <c r="E69" s="8">
        <v>43.3954</v>
      </c>
      <c r="F69" s="10">
        <v>11.078389999999999</v>
      </c>
    </row>
    <row r="70">
      <c r="A70" s="5" t="s">
        <v>144</v>
      </c>
      <c r="B70" s="6" t="s">
        <v>145</v>
      </c>
      <c r="C70" s="7" t="s">
        <v>11</v>
      </c>
      <c r="D70" s="8">
        <v>42.71669</v>
      </c>
      <c r="E70" s="8">
        <v>55.03869</v>
      </c>
      <c r="F70" s="9">
        <v>-12.322000000000003</v>
      </c>
    </row>
    <row r="71">
      <c r="A71" s="5" t="s">
        <v>146</v>
      </c>
      <c r="B71" s="6" t="s">
        <v>147</v>
      </c>
      <c r="C71" s="7" t="s">
        <v>8</v>
      </c>
      <c r="D71" s="8">
        <v>54.58449</v>
      </c>
      <c r="E71" s="8">
        <v>43.17185</v>
      </c>
      <c r="F71" s="10">
        <v>11.412640000000003</v>
      </c>
    </row>
    <row r="72">
      <c r="A72" s="5" t="s">
        <v>148</v>
      </c>
      <c r="B72" s="6" t="s">
        <v>149</v>
      </c>
      <c r="C72" s="7" t="s">
        <v>8</v>
      </c>
      <c r="D72" s="8">
        <v>65.38055</v>
      </c>
      <c r="E72" s="8">
        <v>32.24456</v>
      </c>
      <c r="F72" s="10">
        <v>33.13599</v>
      </c>
    </row>
    <row r="73">
      <c r="A73" s="5" t="s">
        <v>150</v>
      </c>
      <c r="B73" s="6" t="s">
        <v>151</v>
      </c>
      <c r="C73" s="7" t="s">
        <v>8</v>
      </c>
      <c r="D73" s="8">
        <v>62.47139</v>
      </c>
      <c r="E73" s="8">
        <v>35.16507</v>
      </c>
      <c r="F73" s="10">
        <v>27.30632</v>
      </c>
    </row>
    <row r="74">
      <c r="A74" s="5" t="s">
        <v>152</v>
      </c>
      <c r="B74" s="6" t="s">
        <v>153</v>
      </c>
      <c r="C74" s="7" t="s">
        <v>8</v>
      </c>
      <c r="D74" s="8">
        <v>67.399</v>
      </c>
      <c r="E74" s="8">
        <v>30.5349</v>
      </c>
      <c r="F74" s="10">
        <v>36.8641</v>
      </c>
    </row>
    <row r="75">
      <c r="A75" s="5" t="s">
        <v>154</v>
      </c>
      <c r="B75" s="6" t="s">
        <v>155</v>
      </c>
      <c r="C75" s="7" t="s">
        <v>8</v>
      </c>
      <c r="D75" s="8">
        <v>79.51069</v>
      </c>
      <c r="E75" s="8">
        <v>18.21719</v>
      </c>
      <c r="F75" s="10">
        <v>61.293499999999995</v>
      </c>
    </row>
    <row r="76">
      <c r="A76" s="5" t="s">
        <v>156</v>
      </c>
      <c r="B76" s="6" t="s">
        <v>157</v>
      </c>
      <c r="C76" s="7" t="s">
        <v>8</v>
      </c>
      <c r="D76" s="8">
        <v>68.65949</v>
      </c>
      <c r="E76" s="8">
        <v>28.79272</v>
      </c>
      <c r="F76" s="10">
        <v>39.86677</v>
      </c>
    </row>
    <row r="77">
      <c r="A77" s="5" t="s">
        <v>158</v>
      </c>
      <c r="B77" s="6" t="s">
        <v>159</v>
      </c>
      <c r="C77" s="7" t="s">
        <v>11</v>
      </c>
      <c r="D77" s="8">
        <v>44.69019</v>
      </c>
      <c r="E77" s="8">
        <v>52.94159</v>
      </c>
      <c r="F77" s="9">
        <v>-8.251399999999997</v>
      </c>
    </row>
    <row r="78">
      <c r="A78" s="5" t="s">
        <v>160</v>
      </c>
      <c r="B78" s="6" t="s">
        <v>161</v>
      </c>
      <c r="C78" s="7" t="s">
        <v>11</v>
      </c>
      <c r="D78" s="8">
        <v>39.47516</v>
      </c>
      <c r="E78" s="8">
        <v>58.02687</v>
      </c>
      <c r="F78" s="9">
        <v>-18.55171</v>
      </c>
    </row>
    <row r="79">
      <c r="A79" s="5" t="s">
        <v>162</v>
      </c>
      <c r="B79" s="6" t="s">
        <v>163</v>
      </c>
      <c r="C79" s="7" t="s">
        <v>11</v>
      </c>
      <c r="D79" s="8">
        <v>43.08437</v>
      </c>
      <c r="E79" s="8">
        <v>53.18945</v>
      </c>
      <c r="F79" s="9">
        <v>-10.105080000000001</v>
      </c>
    </row>
    <row r="80">
      <c r="A80" s="5" t="s">
        <v>164</v>
      </c>
      <c r="B80" s="6" t="s">
        <v>165</v>
      </c>
      <c r="C80" s="7" t="s">
        <v>8</v>
      </c>
      <c r="D80" s="8">
        <v>60.58753</v>
      </c>
      <c r="E80" s="8">
        <v>36.79136</v>
      </c>
      <c r="F80" s="10">
        <v>23.796170000000004</v>
      </c>
    </row>
    <row r="81">
      <c r="A81" s="5" t="s">
        <v>166</v>
      </c>
      <c r="B81" s="6" t="s">
        <v>167</v>
      </c>
      <c r="C81" s="7" t="s">
        <v>8</v>
      </c>
      <c r="D81" s="8">
        <v>55.69551</v>
      </c>
      <c r="E81" s="8">
        <v>41.52427</v>
      </c>
      <c r="F81" s="10">
        <v>14.171239999999997</v>
      </c>
    </row>
    <row r="82">
      <c r="A82" s="5" t="s">
        <v>168</v>
      </c>
      <c r="B82" s="6" t="s">
        <v>169</v>
      </c>
      <c r="C82" s="7" t="s">
        <v>8</v>
      </c>
      <c r="D82" s="8">
        <v>50.81155</v>
      </c>
      <c r="E82" s="8">
        <v>46.25528</v>
      </c>
      <c r="F82" s="10">
        <v>4.556269999999998</v>
      </c>
    </row>
    <row r="83">
      <c r="A83" s="5" t="s">
        <v>170</v>
      </c>
      <c r="B83" s="6" t="s">
        <v>171</v>
      </c>
      <c r="C83" s="7" t="s">
        <v>8</v>
      </c>
      <c r="D83" s="8">
        <v>63.30451</v>
      </c>
      <c r="E83" s="8">
        <v>35.2212</v>
      </c>
      <c r="F83" s="10">
        <v>28.083309999999997</v>
      </c>
    </row>
    <row r="84">
      <c r="A84" s="5" t="s">
        <v>172</v>
      </c>
      <c r="B84" s="6" t="s">
        <v>173</v>
      </c>
      <c r="C84" s="7" t="s">
        <v>8</v>
      </c>
      <c r="D84" s="8">
        <v>54.72305</v>
      </c>
      <c r="E84" s="8">
        <v>43.27745</v>
      </c>
      <c r="F84" s="10">
        <v>11.445599999999999</v>
      </c>
    </row>
    <row r="85">
      <c r="A85" s="5" t="s">
        <v>174</v>
      </c>
      <c r="B85" s="6" t="s">
        <v>175</v>
      </c>
      <c r="C85" s="7" t="s">
        <v>8</v>
      </c>
      <c r="D85" s="8">
        <v>59.23019</v>
      </c>
      <c r="E85" s="8">
        <v>39.51251</v>
      </c>
      <c r="F85" s="10">
        <v>19.71768</v>
      </c>
    </row>
    <row r="86">
      <c r="A86" s="5" t="s">
        <v>176</v>
      </c>
      <c r="B86" s="6" t="s">
        <v>177</v>
      </c>
      <c r="C86" s="7" t="s">
        <v>8</v>
      </c>
      <c r="D86" s="8">
        <v>64.8212</v>
      </c>
      <c r="E86" s="8">
        <v>33.82427</v>
      </c>
      <c r="F86" s="10">
        <v>30.996930000000006</v>
      </c>
    </row>
    <row r="87">
      <c r="A87" s="5" t="s">
        <v>178</v>
      </c>
      <c r="B87" s="6" t="s">
        <v>179</v>
      </c>
      <c r="C87" s="7" t="s">
        <v>8</v>
      </c>
      <c r="D87" s="8">
        <v>54.63339</v>
      </c>
      <c r="E87" s="8">
        <v>43.88422</v>
      </c>
      <c r="F87" s="10">
        <v>10.74917</v>
      </c>
    </row>
    <row r="88">
      <c r="A88" s="5" t="s">
        <v>180</v>
      </c>
      <c r="B88" s="6" t="s">
        <v>181</v>
      </c>
      <c r="C88" s="7" t="s">
        <v>8</v>
      </c>
      <c r="D88" s="8">
        <v>58.78217</v>
      </c>
      <c r="E88" s="8">
        <v>39.80139</v>
      </c>
      <c r="F88" s="10">
        <v>18.980780000000003</v>
      </c>
    </row>
    <row r="89">
      <c r="A89" s="5" t="s">
        <v>182</v>
      </c>
      <c r="B89" s="6" t="s">
        <v>183</v>
      </c>
      <c r="C89" s="7" t="s">
        <v>11</v>
      </c>
      <c r="D89" s="8">
        <v>32.98557</v>
      </c>
      <c r="E89" s="8">
        <v>65.2981</v>
      </c>
      <c r="F89" s="9">
        <v>-32.31253</v>
      </c>
    </row>
    <row r="90">
      <c r="A90" s="5" t="s">
        <v>184</v>
      </c>
      <c r="B90" s="6" t="s">
        <v>185</v>
      </c>
      <c r="C90" s="7" t="s">
        <v>11</v>
      </c>
      <c r="D90" s="8">
        <v>43.97054</v>
      </c>
      <c r="E90" s="8">
        <v>54.96261</v>
      </c>
      <c r="F90" s="9">
        <v>-10.992069999999998</v>
      </c>
    </row>
    <row r="91">
      <c r="A91" s="5" t="s">
        <v>186</v>
      </c>
      <c r="B91" s="6" t="s">
        <v>187</v>
      </c>
      <c r="C91" s="7" t="s">
        <v>11</v>
      </c>
      <c r="D91" s="8">
        <v>42.44845</v>
      </c>
      <c r="E91" s="8">
        <v>56.54263</v>
      </c>
      <c r="F91" s="9">
        <v>-14.094180000000001</v>
      </c>
    </row>
    <row r="92">
      <c r="A92" s="5" t="s">
        <v>188</v>
      </c>
      <c r="B92" s="6" t="s">
        <v>189</v>
      </c>
      <c r="C92" s="7" t="s">
        <v>11</v>
      </c>
      <c r="D92" s="8">
        <v>46.03753</v>
      </c>
      <c r="E92" s="8">
        <v>52.72733</v>
      </c>
      <c r="F92" s="9">
        <v>-6.689800000000005</v>
      </c>
    </row>
    <row r="93">
      <c r="A93" s="5" t="s">
        <v>190</v>
      </c>
      <c r="B93" s="6" t="s">
        <v>191</v>
      </c>
      <c r="C93" s="7" t="s">
        <v>11</v>
      </c>
      <c r="D93" s="8">
        <v>41.4745</v>
      </c>
      <c r="E93" s="8">
        <v>57.2705</v>
      </c>
      <c r="F93" s="9">
        <v>-15.796</v>
      </c>
    </row>
    <row r="94">
      <c r="A94" s="5" t="s">
        <v>192</v>
      </c>
      <c r="B94" s="6" t="s">
        <v>193</v>
      </c>
      <c r="C94" s="7" t="s">
        <v>11</v>
      </c>
      <c r="D94" s="8">
        <v>37.71837</v>
      </c>
      <c r="E94" s="8">
        <v>61.39203</v>
      </c>
      <c r="F94" s="9">
        <v>-23.673659999999998</v>
      </c>
    </row>
    <row r="95">
      <c r="A95" s="5" t="s">
        <v>194</v>
      </c>
      <c r="B95" s="6" t="s">
        <v>195</v>
      </c>
      <c r="C95" s="7" t="s">
        <v>11</v>
      </c>
      <c r="D95" s="8">
        <v>46.69315</v>
      </c>
      <c r="E95" s="8">
        <v>52.23851</v>
      </c>
      <c r="F95" s="9">
        <v>-5.545359999999995</v>
      </c>
    </row>
    <row r="96">
      <c r="A96" s="5" t="s">
        <v>196</v>
      </c>
      <c r="B96" s="6" t="s">
        <v>197</v>
      </c>
      <c r="C96" s="7" t="s">
        <v>11</v>
      </c>
      <c r="D96" s="8">
        <v>40.62864</v>
      </c>
      <c r="E96" s="8">
        <v>58.26982</v>
      </c>
      <c r="F96" s="9">
        <v>-17.641180000000006</v>
      </c>
    </row>
    <row r="97">
      <c r="A97" s="5" t="s">
        <v>198</v>
      </c>
      <c r="B97" s="6" t="s">
        <v>199</v>
      </c>
      <c r="C97" s="7" t="s">
        <v>8</v>
      </c>
      <c r="D97" s="8">
        <v>58.23907</v>
      </c>
      <c r="E97" s="8">
        <v>40.80472</v>
      </c>
      <c r="F97" s="10">
        <v>17.434349999999995</v>
      </c>
    </row>
    <row r="98">
      <c r="A98" s="5" t="s">
        <v>200</v>
      </c>
      <c r="B98" s="6" t="s">
        <v>201</v>
      </c>
      <c r="C98" s="7" t="s">
        <v>8</v>
      </c>
      <c r="D98" s="8">
        <v>65.32138</v>
      </c>
      <c r="E98" s="8">
        <v>33.5364</v>
      </c>
      <c r="F98" s="10">
        <v>31.784980000000004</v>
      </c>
    </row>
    <row r="99">
      <c r="A99" s="5" t="s">
        <v>202</v>
      </c>
      <c r="B99" s="6" t="s">
        <v>203</v>
      </c>
      <c r="C99" s="7" t="s">
        <v>11</v>
      </c>
      <c r="D99" s="8">
        <v>44.14464</v>
      </c>
      <c r="E99" s="8">
        <v>55.02014</v>
      </c>
      <c r="F99" s="9">
        <v>-10.875499999999995</v>
      </c>
    </row>
    <row r="100">
      <c r="A100" s="5" t="s">
        <v>204</v>
      </c>
      <c r="B100" s="6" t="s">
        <v>205</v>
      </c>
      <c r="C100" s="7" t="s">
        <v>11</v>
      </c>
      <c r="D100" s="8">
        <v>35.14872</v>
      </c>
      <c r="E100" s="8">
        <v>63.87538</v>
      </c>
      <c r="F100" s="9">
        <v>-28.726660000000003</v>
      </c>
    </row>
    <row r="101">
      <c r="A101" s="5" t="s">
        <v>206</v>
      </c>
      <c r="B101" s="6" t="s">
        <v>207</v>
      </c>
      <c r="C101" s="7" t="s">
        <v>11</v>
      </c>
      <c r="D101" s="8">
        <v>46.11096</v>
      </c>
      <c r="E101" s="8">
        <v>52.86243</v>
      </c>
      <c r="F101" s="9">
        <v>-6.751470000000005</v>
      </c>
    </row>
    <row r="102">
      <c r="A102" s="5" t="s">
        <v>208</v>
      </c>
      <c r="B102" s="6" t="s">
        <v>209</v>
      </c>
      <c r="C102" s="7" t="s">
        <v>8</v>
      </c>
      <c r="D102" s="8">
        <v>58.98238</v>
      </c>
      <c r="E102" s="8">
        <v>39.83484</v>
      </c>
      <c r="F102" s="10">
        <v>19.14754</v>
      </c>
    </row>
    <row r="103">
      <c r="A103" s="5" t="s">
        <v>210</v>
      </c>
      <c r="B103" s="6" t="s">
        <v>211</v>
      </c>
      <c r="C103" s="7" t="s">
        <v>11</v>
      </c>
      <c r="D103" s="8">
        <v>47.85646</v>
      </c>
      <c r="E103" s="8">
        <v>51.01206</v>
      </c>
      <c r="F103" s="9">
        <v>-3.1555999999999997</v>
      </c>
    </row>
    <row r="104">
      <c r="A104" s="5" t="s">
        <v>212</v>
      </c>
      <c r="B104" s="6" t="s">
        <v>213</v>
      </c>
      <c r="C104" s="7" t="s">
        <v>11</v>
      </c>
      <c r="D104" s="8">
        <v>45.06039</v>
      </c>
      <c r="E104" s="8">
        <v>53.96116</v>
      </c>
      <c r="F104" s="9">
        <v>-8.900770000000001</v>
      </c>
    </row>
    <row r="105">
      <c r="A105" s="5" t="s">
        <v>214</v>
      </c>
      <c r="B105" s="6" t="s">
        <v>215</v>
      </c>
      <c r="C105" s="7" t="s">
        <v>11</v>
      </c>
      <c r="D105" s="8">
        <v>41.63983</v>
      </c>
      <c r="E105" s="8">
        <v>57.59366</v>
      </c>
      <c r="F105" s="9">
        <v>-15.953829999999996</v>
      </c>
    </row>
    <row r="106">
      <c r="A106" s="5" t="s">
        <v>216</v>
      </c>
      <c r="B106" s="6" t="s">
        <v>217</v>
      </c>
      <c r="C106" s="7" t="s">
        <v>11</v>
      </c>
      <c r="D106" s="8">
        <v>38.12666</v>
      </c>
      <c r="E106" s="8">
        <v>60.93318</v>
      </c>
      <c r="F106" s="9">
        <v>-22.80652</v>
      </c>
    </row>
    <row r="107">
      <c r="A107" s="5" t="s">
        <v>218</v>
      </c>
      <c r="B107" s="6" t="s">
        <v>219</v>
      </c>
      <c r="C107" s="7" t="s">
        <v>11</v>
      </c>
      <c r="D107" s="8">
        <v>39.14331</v>
      </c>
      <c r="E107" s="8">
        <v>60.16698</v>
      </c>
      <c r="F107" s="9">
        <v>-21.023670000000003</v>
      </c>
    </row>
    <row r="108">
      <c r="A108" s="5" t="s">
        <v>220</v>
      </c>
      <c r="B108" s="6" t="s">
        <v>221</v>
      </c>
      <c r="C108" s="7" t="s">
        <v>8</v>
      </c>
      <c r="D108" s="8">
        <v>75.89332</v>
      </c>
      <c r="E108" s="8">
        <v>23.51992</v>
      </c>
      <c r="F108" s="10">
        <v>52.373400000000004</v>
      </c>
    </row>
    <row r="109">
      <c r="A109" s="5" t="s">
        <v>222</v>
      </c>
      <c r="B109" s="6" t="s">
        <v>223</v>
      </c>
      <c r="C109" s="7" t="s">
        <v>11</v>
      </c>
      <c r="D109" s="8">
        <v>44.95296</v>
      </c>
      <c r="E109" s="8">
        <v>54.38749</v>
      </c>
      <c r="F109" s="9">
        <v>-9.434530000000002</v>
      </c>
    </row>
    <row r="110">
      <c r="A110" s="5" t="s">
        <v>224</v>
      </c>
      <c r="B110" s="6" t="s">
        <v>225</v>
      </c>
      <c r="C110" s="7" t="s">
        <v>8</v>
      </c>
      <c r="D110" s="8">
        <v>58.49392</v>
      </c>
      <c r="E110" s="8">
        <v>40.88121</v>
      </c>
      <c r="F110" s="10">
        <v>17.61271</v>
      </c>
    </row>
    <row r="111">
      <c r="A111" s="5" t="s">
        <v>226</v>
      </c>
      <c r="B111" s="6" t="s">
        <v>227</v>
      </c>
      <c r="C111" s="7" t="s">
        <v>8</v>
      </c>
      <c r="D111" s="8">
        <v>56.32817</v>
      </c>
      <c r="E111" s="8">
        <v>43.10379</v>
      </c>
      <c r="F111" s="10">
        <v>13.224380000000004</v>
      </c>
    </row>
    <row r="112">
      <c r="A112" s="5" t="s">
        <v>228</v>
      </c>
      <c r="B112" s="6" t="s">
        <v>229</v>
      </c>
      <c r="C112" s="7" t="s">
        <v>8</v>
      </c>
      <c r="D112" s="8">
        <v>74.26653</v>
      </c>
      <c r="E112" s="8">
        <v>25.20494</v>
      </c>
      <c r="F112" s="10">
        <v>49.06159</v>
      </c>
    </row>
    <row r="113">
      <c r="A113" s="5" t="s">
        <v>230</v>
      </c>
      <c r="B113" s="6" t="s">
        <v>231</v>
      </c>
      <c r="C113" s="7" t="s">
        <v>8</v>
      </c>
      <c r="D113" s="8">
        <v>59.66442</v>
      </c>
      <c r="E113" s="8">
        <v>39.74613</v>
      </c>
      <c r="F113" s="10">
        <v>19.91829</v>
      </c>
    </row>
    <row r="114">
      <c r="A114" s="5" t="s">
        <v>232</v>
      </c>
      <c r="B114" s="6" t="s">
        <v>233</v>
      </c>
      <c r="C114" s="7" t="s">
        <v>11</v>
      </c>
      <c r="D114" s="8">
        <v>40.57772</v>
      </c>
      <c r="E114" s="8">
        <v>58.89633</v>
      </c>
      <c r="F114" s="9">
        <v>-18.31861</v>
      </c>
    </row>
    <row r="115">
      <c r="A115" s="5" t="s">
        <v>234</v>
      </c>
      <c r="B115" s="6" t="s">
        <v>235</v>
      </c>
      <c r="C115" s="7" t="s">
        <v>11</v>
      </c>
      <c r="D115" s="8">
        <v>49.57013</v>
      </c>
      <c r="E115" s="8">
        <v>49.88756</v>
      </c>
      <c r="F115" s="9">
        <v>-0.31743000000000166</v>
      </c>
    </row>
    <row r="116">
      <c r="A116" s="5" t="s">
        <v>236</v>
      </c>
      <c r="B116" s="6" t="s">
        <v>237</v>
      </c>
      <c r="C116" s="7" t="s">
        <v>11</v>
      </c>
      <c r="D116" s="8">
        <v>46.53367</v>
      </c>
      <c r="E116" s="8">
        <v>52.87936</v>
      </c>
      <c r="F116" s="9">
        <v>-6.345689999999998</v>
      </c>
    </row>
    <row r="117">
      <c r="A117" s="5" t="s">
        <v>238</v>
      </c>
      <c r="B117" s="6" t="s">
        <v>239</v>
      </c>
      <c r="C117" s="7" t="s">
        <v>11</v>
      </c>
      <c r="D117" s="8">
        <v>42.62409</v>
      </c>
      <c r="E117" s="8">
        <v>56.03664</v>
      </c>
      <c r="F117" s="9">
        <v>-13.412549999999996</v>
      </c>
    </row>
    <row r="118">
      <c r="A118" s="5" t="s">
        <v>240</v>
      </c>
      <c r="B118" s="6" t="s">
        <v>241</v>
      </c>
      <c r="C118" s="7" t="s">
        <v>8</v>
      </c>
      <c r="D118" s="8">
        <v>54.72179</v>
      </c>
      <c r="E118" s="8">
        <v>44.37323</v>
      </c>
      <c r="F118" s="10">
        <v>10.348559999999999</v>
      </c>
    </row>
    <row r="119">
      <c r="A119" s="5" t="s">
        <v>242</v>
      </c>
      <c r="B119" s="6" t="s">
        <v>243</v>
      </c>
      <c r="C119" s="7" t="s">
        <v>11</v>
      </c>
      <c r="D119" s="8">
        <v>34.35184</v>
      </c>
      <c r="E119" s="8">
        <v>64.42372</v>
      </c>
      <c r="F119" s="9">
        <v>-30.07188</v>
      </c>
    </row>
    <row r="120">
      <c r="A120" s="5" t="s">
        <v>244</v>
      </c>
      <c r="B120" s="6" t="s">
        <v>245</v>
      </c>
      <c r="C120" s="7" t="s">
        <v>8</v>
      </c>
      <c r="D120" s="8">
        <v>78.31421</v>
      </c>
      <c r="E120" s="8">
        <v>20.58889</v>
      </c>
      <c r="F120" s="10">
        <v>57.72532</v>
      </c>
    </row>
    <row r="121">
      <c r="A121" s="5" t="s">
        <v>246</v>
      </c>
      <c r="B121" s="6" t="s">
        <v>247</v>
      </c>
      <c r="C121" s="7" t="s">
        <v>8</v>
      </c>
      <c r="D121" s="8">
        <v>82.63359</v>
      </c>
      <c r="E121" s="8">
        <v>16.17331</v>
      </c>
      <c r="F121" s="10">
        <v>66.46028</v>
      </c>
    </row>
    <row r="122">
      <c r="A122" s="5" t="s">
        <v>248</v>
      </c>
      <c r="B122" s="6" t="s">
        <v>249</v>
      </c>
      <c r="C122" s="7" t="s">
        <v>11</v>
      </c>
      <c r="D122" s="8">
        <v>41.76301</v>
      </c>
      <c r="E122" s="8">
        <v>56.6626</v>
      </c>
      <c r="F122" s="9">
        <v>-14.899589999999996</v>
      </c>
    </row>
    <row r="123">
      <c r="A123" s="5" t="s">
        <v>250</v>
      </c>
      <c r="B123" s="6" t="s">
        <v>251</v>
      </c>
      <c r="C123" s="7" t="s">
        <v>8</v>
      </c>
      <c r="D123" s="8">
        <v>62.26318</v>
      </c>
      <c r="E123" s="8">
        <v>36.46943</v>
      </c>
      <c r="F123" s="10">
        <v>25.793749999999996</v>
      </c>
    </row>
    <row r="124">
      <c r="A124" s="5" t="s">
        <v>252</v>
      </c>
      <c r="B124" s="6" t="s">
        <v>253</v>
      </c>
      <c r="C124" s="7" t="s">
        <v>11</v>
      </c>
      <c r="D124" s="8">
        <v>35.67624</v>
      </c>
      <c r="E124" s="8">
        <v>63.29692</v>
      </c>
      <c r="F124" s="9">
        <v>-27.62068</v>
      </c>
    </row>
    <row r="125">
      <c r="A125" s="5" t="s">
        <v>254</v>
      </c>
      <c r="B125" s="6" t="s">
        <v>255</v>
      </c>
      <c r="C125" s="7" t="s">
        <v>11</v>
      </c>
      <c r="D125" s="8">
        <v>30.41955</v>
      </c>
      <c r="E125" s="8">
        <v>68.29465</v>
      </c>
      <c r="F125" s="9">
        <v>-37.8751</v>
      </c>
    </row>
    <row r="126">
      <c r="A126" s="5" t="s">
        <v>256</v>
      </c>
      <c r="B126" s="6" t="s">
        <v>257</v>
      </c>
      <c r="C126" s="7" t="s">
        <v>11</v>
      </c>
      <c r="D126" s="8">
        <v>37.66211</v>
      </c>
      <c r="E126" s="8">
        <v>61.05412</v>
      </c>
      <c r="F126" s="9">
        <v>-23.39201</v>
      </c>
    </row>
    <row r="127">
      <c r="A127" s="5" t="s">
        <v>258</v>
      </c>
      <c r="B127" s="6" t="s">
        <v>259</v>
      </c>
      <c r="C127" s="7" t="s">
        <v>11</v>
      </c>
      <c r="D127" s="8">
        <v>41.5114</v>
      </c>
      <c r="E127" s="8">
        <v>56.84191</v>
      </c>
      <c r="F127" s="9">
        <v>-15.330509999999997</v>
      </c>
    </row>
    <row r="128">
      <c r="A128" s="5" t="s">
        <v>260</v>
      </c>
      <c r="B128" s="6" t="s">
        <v>261</v>
      </c>
      <c r="C128" s="7" t="s">
        <v>11</v>
      </c>
      <c r="D128" s="8">
        <v>44.33115</v>
      </c>
      <c r="E128" s="8">
        <v>54.4785</v>
      </c>
      <c r="F128" s="9">
        <v>-10.147349999999996</v>
      </c>
    </row>
    <row r="129">
      <c r="A129" s="5" t="s">
        <v>262</v>
      </c>
      <c r="B129" s="6" t="s">
        <v>263</v>
      </c>
      <c r="C129" s="7" t="s">
        <v>8</v>
      </c>
      <c r="D129" s="8">
        <v>79.68428</v>
      </c>
      <c r="E129" s="8">
        <v>19.31977</v>
      </c>
      <c r="F129" s="10">
        <v>60.36451</v>
      </c>
    </row>
    <row r="130">
      <c r="A130" s="5" t="s">
        <v>264</v>
      </c>
      <c r="B130" s="6" t="s">
        <v>265</v>
      </c>
      <c r="C130" s="7" t="s">
        <v>11</v>
      </c>
      <c r="D130" s="8">
        <v>30.68243</v>
      </c>
      <c r="E130" s="8">
        <v>68.05743</v>
      </c>
      <c r="F130" s="9">
        <v>-37.375</v>
      </c>
    </row>
    <row r="131">
      <c r="A131" s="5" t="s">
        <v>266</v>
      </c>
      <c r="B131" s="6" t="s">
        <v>267</v>
      </c>
      <c r="C131" s="7" t="s">
        <v>8</v>
      </c>
      <c r="D131" s="8">
        <v>63.88256</v>
      </c>
      <c r="E131" s="8">
        <v>34.4512</v>
      </c>
      <c r="F131" s="10">
        <v>29.431359999999998</v>
      </c>
    </row>
    <row r="132">
      <c r="A132" s="5" t="s">
        <v>268</v>
      </c>
      <c r="B132" s="6" t="s">
        <v>269</v>
      </c>
      <c r="C132" s="11" t="s">
        <v>8</v>
      </c>
      <c r="D132" s="8">
        <v>63.59236</v>
      </c>
      <c r="E132" s="8">
        <v>34.09589</v>
      </c>
      <c r="F132" s="10">
        <v>29.496470000000002</v>
      </c>
    </row>
    <row r="133">
      <c r="A133" s="5" t="s">
        <v>270</v>
      </c>
      <c r="B133" s="6" t="s">
        <v>271</v>
      </c>
      <c r="C133" s="7" t="s">
        <v>11</v>
      </c>
      <c r="D133" s="8">
        <v>47.64281</v>
      </c>
      <c r="E133" s="8">
        <v>50.5337</v>
      </c>
      <c r="F133" s="9">
        <v>-2.890890000000006</v>
      </c>
    </row>
    <row r="134">
      <c r="A134" s="5" t="s">
        <v>272</v>
      </c>
      <c r="B134" s="6" t="s">
        <v>273</v>
      </c>
      <c r="C134" s="7" t="s">
        <v>11</v>
      </c>
      <c r="D134" s="8">
        <v>46.89809</v>
      </c>
      <c r="E134" s="8">
        <v>51.29748</v>
      </c>
      <c r="F134" s="9">
        <v>-4.399389999999997</v>
      </c>
    </row>
    <row r="135">
      <c r="A135" s="5" t="s">
        <v>274</v>
      </c>
      <c r="B135" s="6" t="s">
        <v>275</v>
      </c>
      <c r="C135" s="7" t="s">
        <v>11</v>
      </c>
      <c r="D135" s="8">
        <v>48.93847</v>
      </c>
      <c r="E135" s="8">
        <v>49.2841</v>
      </c>
      <c r="F135" s="9">
        <v>-0.3456299999999999</v>
      </c>
    </row>
    <row r="136">
      <c r="A136" s="5" t="s">
        <v>276</v>
      </c>
      <c r="B136" s="6" t="s">
        <v>277</v>
      </c>
      <c r="C136" s="7" t="s">
        <v>11</v>
      </c>
      <c r="D136" s="8">
        <v>36.15215</v>
      </c>
      <c r="E136" s="8">
        <v>62.19098</v>
      </c>
      <c r="F136" s="9">
        <v>-26.038830000000004</v>
      </c>
    </row>
    <row r="137">
      <c r="A137" s="5" t="s">
        <v>278</v>
      </c>
      <c r="B137" s="6" t="s">
        <v>279</v>
      </c>
      <c r="C137" s="7" t="s">
        <v>11</v>
      </c>
      <c r="D137" s="8">
        <v>29.51907</v>
      </c>
      <c r="E137" s="8">
        <v>67.68659</v>
      </c>
      <c r="F137" s="9">
        <v>-38.167519999999996</v>
      </c>
    </row>
    <row r="138">
      <c r="A138" s="5" t="s">
        <v>280</v>
      </c>
      <c r="B138" s="6" t="s">
        <v>281</v>
      </c>
      <c r="C138" s="7" t="s">
        <v>11</v>
      </c>
      <c r="D138" s="8">
        <v>36.89793</v>
      </c>
      <c r="E138" s="8">
        <v>59.83525</v>
      </c>
      <c r="F138" s="9">
        <v>-22.93732</v>
      </c>
    </row>
    <row r="139">
      <c r="A139" s="5" t="s">
        <v>282</v>
      </c>
      <c r="B139" s="6" t="s">
        <v>283</v>
      </c>
      <c r="C139" s="7" t="s">
        <v>8</v>
      </c>
      <c r="D139" s="8">
        <v>70.48788</v>
      </c>
      <c r="E139" s="8">
        <v>28.12261</v>
      </c>
      <c r="F139" s="10">
        <v>42.36527</v>
      </c>
    </row>
    <row r="140">
      <c r="A140" s="5" t="s">
        <v>284</v>
      </c>
      <c r="B140" s="6" t="s">
        <v>285</v>
      </c>
      <c r="C140" s="7" t="s">
        <v>8</v>
      </c>
      <c r="D140" s="8">
        <v>69.29948</v>
      </c>
      <c r="E140" s="8">
        <v>29.28265</v>
      </c>
      <c r="F140" s="10">
        <v>40.01683</v>
      </c>
    </row>
    <row r="141">
      <c r="A141" s="5" t="s">
        <v>286</v>
      </c>
      <c r="B141" s="6" t="s">
        <v>287</v>
      </c>
      <c r="C141" s="7" t="s">
        <v>8</v>
      </c>
      <c r="D141" s="8">
        <v>69.71917</v>
      </c>
      <c r="E141" s="8">
        <v>28.29473</v>
      </c>
      <c r="F141" s="10">
        <v>41.424440000000004</v>
      </c>
    </row>
    <row r="142">
      <c r="A142" s="5" t="s">
        <v>288</v>
      </c>
      <c r="B142" s="6" t="s">
        <v>289</v>
      </c>
      <c r="C142" s="7" t="s">
        <v>8</v>
      </c>
      <c r="D142" s="8">
        <v>72.27628</v>
      </c>
      <c r="E142" s="8">
        <v>25.86395</v>
      </c>
      <c r="F142" s="10">
        <v>46.41233</v>
      </c>
    </row>
    <row r="143">
      <c r="A143" s="5" t="s">
        <v>290</v>
      </c>
      <c r="B143" s="6" t="s">
        <v>291</v>
      </c>
      <c r="C143" s="7" t="s">
        <v>8</v>
      </c>
      <c r="D143" s="8">
        <v>68.87564</v>
      </c>
      <c r="E143" s="8">
        <v>29.29057</v>
      </c>
      <c r="F143" s="10">
        <v>39.58507</v>
      </c>
    </row>
    <row r="144">
      <c r="A144" s="5" t="s">
        <v>292</v>
      </c>
      <c r="B144" s="6" t="s">
        <v>293</v>
      </c>
      <c r="C144" s="7" t="s">
        <v>8</v>
      </c>
      <c r="D144" s="8">
        <v>54.51263</v>
      </c>
      <c r="E144" s="8">
        <v>43.63293</v>
      </c>
      <c r="F144" s="10">
        <v>10.8797</v>
      </c>
    </row>
    <row r="145">
      <c r="A145" s="5" t="s">
        <v>294</v>
      </c>
      <c r="B145" s="6" t="s">
        <v>295</v>
      </c>
      <c r="C145" s="7" t="s">
        <v>8</v>
      </c>
      <c r="D145" s="8">
        <v>85.62121</v>
      </c>
      <c r="E145" s="8">
        <v>12.79573</v>
      </c>
      <c r="F145" s="10">
        <v>72.82548</v>
      </c>
    </row>
    <row r="146">
      <c r="A146" s="5" t="s">
        <v>296</v>
      </c>
      <c r="B146" s="6" t="s">
        <v>297</v>
      </c>
      <c r="C146" s="7" t="s">
        <v>8</v>
      </c>
      <c r="D146" s="8">
        <v>56.77891</v>
      </c>
      <c r="E146" s="8">
        <v>41.36862</v>
      </c>
      <c r="F146" s="10">
        <v>15.410290000000003</v>
      </c>
    </row>
    <row r="147">
      <c r="A147" s="5" t="s">
        <v>298</v>
      </c>
      <c r="B147" s="6" t="s">
        <v>299</v>
      </c>
      <c r="C147" s="7" t="s">
        <v>8</v>
      </c>
      <c r="D147" s="8">
        <v>69.94439</v>
      </c>
      <c r="E147" s="8">
        <v>28.39252</v>
      </c>
      <c r="F147" s="10">
        <v>41.551869999999994</v>
      </c>
    </row>
    <row r="148">
      <c r="A148" s="5" t="s">
        <v>300</v>
      </c>
      <c r="B148" s="6" t="s">
        <v>301</v>
      </c>
      <c r="C148" s="7" t="s">
        <v>8</v>
      </c>
      <c r="D148" s="8">
        <v>61.9812</v>
      </c>
      <c r="E148" s="8">
        <v>36.12033</v>
      </c>
      <c r="F148" s="10">
        <v>25.86087</v>
      </c>
    </row>
    <row r="149">
      <c r="A149" s="5" t="s">
        <v>302</v>
      </c>
      <c r="B149" s="6" t="s">
        <v>303</v>
      </c>
      <c r="C149" s="7" t="s">
        <v>8</v>
      </c>
      <c r="D149" s="8">
        <v>56.594</v>
      </c>
      <c r="E149" s="8">
        <v>41.2979</v>
      </c>
      <c r="F149" s="10">
        <v>15.296100000000003</v>
      </c>
    </row>
    <row r="150">
      <c r="A150" s="5" t="s">
        <v>304</v>
      </c>
      <c r="B150" s="6" t="s">
        <v>305</v>
      </c>
      <c r="C150" s="7" t="s">
        <v>11</v>
      </c>
      <c r="D150" s="8">
        <v>27.71103</v>
      </c>
      <c r="E150" s="8">
        <v>70.50047</v>
      </c>
      <c r="F150" s="9">
        <v>-42.789440000000006</v>
      </c>
    </row>
    <row r="151">
      <c r="A151" s="5" t="s">
        <v>306</v>
      </c>
      <c r="B151" s="6" t="s">
        <v>307</v>
      </c>
      <c r="C151" s="7" t="s">
        <v>8</v>
      </c>
      <c r="D151" s="8">
        <v>54.44152</v>
      </c>
      <c r="E151" s="8">
        <v>43.22654</v>
      </c>
      <c r="F151" s="10">
        <v>11.214979999999997</v>
      </c>
    </row>
    <row r="152">
      <c r="A152" s="5" t="s">
        <v>308</v>
      </c>
      <c r="B152" s="6" t="s">
        <v>309</v>
      </c>
      <c r="C152" s="7" t="s">
        <v>8</v>
      </c>
      <c r="D152" s="8">
        <v>54.73611</v>
      </c>
      <c r="E152" s="8">
        <v>43.27144</v>
      </c>
      <c r="F152" s="10">
        <v>11.464669999999998</v>
      </c>
    </row>
    <row r="153">
      <c r="A153" s="5" t="s">
        <v>310</v>
      </c>
      <c r="B153" s="6" t="s">
        <v>311</v>
      </c>
      <c r="C153" s="7" t="s">
        <v>11</v>
      </c>
      <c r="D153" s="8">
        <v>29.60206</v>
      </c>
      <c r="E153" s="8">
        <v>68.33895</v>
      </c>
      <c r="F153" s="9">
        <v>-38.736889999999995</v>
      </c>
    </row>
    <row r="154">
      <c r="A154" s="5" t="s">
        <v>312</v>
      </c>
      <c r="B154" s="6" t="s">
        <v>313</v>
      </c>
      <c r="C154" s="7" t="s">
        <v>11</v>
      </c>
      <c r="D154" s="8">
        <v>38.10879</v>
      </c>
      <c r="E154" s="8">
        <v>59.61988</v>
      </c>
      <c r="F154" s="9">
        <v>-21.511090000000003</v>
      </c>
    </row>
    <row r="155">
      <c r="A155" s="5" t="s">
        <v>314</v>
      </c>
      <c r="B155" s="6" t="s">
        <v>315</v>
      </c>
      <c r="C155" s="7" t="s">
        <v>8</v>
      </c>
      <c r="D155" s="8">
        <v>52.71632</v>
      </c>
      <c r="E155" s="8">
        <v>44.92549</v>
      </c>
      <c r="F155" s="10">
        <v>7.79083</v>
      </c>
    </row>
    <row r="156">
      <c r="A156" s="5" t="s">
        <v>316</v>
      </c>
      <c r="B156" s="6" t="s">
        <v>317</v>
      </c>
      <c r="C156" s="7" t="s">
        <v>8</v>
      </c>
      <c r="D156" s="8">
        <v>53.37014</v>
      </c>
      <c r="E156" s="8">
        <v>45.01426</v>
      </c>
      <c r="F156" s="10">
        <v>8.355879999999999</v>
      </c>
    </row>
    <row r="157">
      <c r="A157" s="5" t="s">
        <v>318</v>
      </c>
      <c r="B157" s="6" t="s">
        <v>319</v>
      </c>
      <c r="C157" s="7" t="s">
        <v>11</v>
      </c>
      <c r="D157" s="8">
        <v>37.78993</v>
      </c>
      <c r="E157" s="8">
        <v>60.35745</v>
      </c>
      <c r="F157" s="9">
        <v>-22.567520000000002</v>
      </c>
    </row>
    <row r="158">
      <c r="A158" s="5" t="s">
        <v>320</v>
      </c>
      <c r="B158" s="6" t="s">
        <v>321</v>
      </c>
      <c r="C158" s="7" t="s">
        <v>11</v>
      </c>
      <c r="D158" s="8">
        <v>33.97909</v>
      </c>
      <c r="E158" s="8">
        <v>63.87717</v>
      </c>
      <c r="F158" s="9">
        <v>-29.89808</v>
      </c>
    </row>
    <row r="159">
      <c r="A159" s="5" t="s">
        <v>322</v>
      </c>
      <c r="B159" s="6" t="s">
        <v>323</v>
      </c>
      <c r="C159" s="7" t="s">
        <v>11</v>
      </c>
      <c r="D159" s="8">
        <v>34.29306</v>
      </c>
      <c r="E159" s="8">
        <v>63.42989</v>
      </c>
      <c r="F159" s="9">
        <v>-29.136830000000003</v>
      </c>
    </row>
    <row r="160">
      <c r="A160" s="5" t="s">
        <v>324</v>
      </c>
      <c r="B160" s="6" t="s">
        <v>325</v>
      </c>
      <c r="C160" s="7" t="s">
        <v>11</v>
      </c>
      <c r="D160" s="8">
        <v>41.02659</v>
      </c>
      <c r="E160" s="8">
        <v>56.96458</v>
      </c>
      <c r="F160" s="9">
        <v>-15.93799</v>
      </c>
    </row>
    <row r="161">
      <c r="A161" s="5" t="s">
        <v>326</v>
      </c>
      <c r="B161" s="6" t="s">
        <v>327</v>
      </c>
      <c r="C161" s="7" t="s">
        <v>11</v>
      </c>
      <c r="D161" s="8">
        <v>32.97402</v>
      </c>
      <c r="E161" s="8">
        <v>64.90076</v>
      </c>
      <c r="F161" s="9">
        <v>-31.926740000000002</v>
      </c>
    </row>
    <row r="162">
      <c r="A162" s="5" t="s">
        <v>328</v>
      </c>
      <c r="B162" s="6" t="s">
        <v>329</v>
      </c>
      <c r="C162" s="7" t="s">
        <v>8</v>
      </c>
      <c r="D162" s="8">
        <v>70.29116</v>
      </c>
      <c r="E162" s="8">
        <v>27.92339</v>
      </c>
      <c r="F162" s="10">
        <v>42.36777000000001</v>
      </c>
    </row>
    <row r="163">
      <c r="A163" s="5" t="s">
        <v>330</v>
      </c>
      <c r="B163" s="6" t="s">
        <v>331</v>
      </c>
      <c r="C163" s="7" t="s">
        <v>11</v>
      </c>
      <c r="D163" s="8">
        <v>32.66363</v>
      </c>
      <c r="E163" s="8">
        <v>65.49683</v>
      </c>
      <c r="F163" s="9">
        <v>-32.833200000000005</v>
      </c>
    </row>
    <row r="164">
      <c r="A164" s="5" t="s">
        <v>332</v>
      </c>
      <c r="B164" s="6" t="s">
        <v>333</v>
      </c>
      <c r="C164" s="7" t="s">
        <v>11</v>
      </c>
      <c r="D164" s="8">
        <v>35.37946</v>
      </c>
      <c r="E164" s="8">
        <v>62.70356</v>
      </c>
      <c r="F164" s="9">
        <v>-27.3241</v>
      </c>
    </row>
    <row r="165">
      <c r="A165" s="5" t="s">
        <v>334</v>
      </c>
      <c r="B165" s="6" t="s">
        <v>335</v>
      </c>
      <c r="C165" s="7" t="s">
        <v>11</v>
      </c>
      <c r="D165" s="8">
        <v>34.1</v>
      </c>
      <c r="E165" s="8">
        <v>63.72813</v>
      </c>
      <c r="F165" s="9">
        <v>-29.62813</v>
      </c>
    </row>
    <row r="166">
      <c r="A166" s="5" t="s">
        <v>336</v>
      </c>
      <c r="B166" s="6" t="s">
        <v>337</v>
      </c>
      <c r="C166" s="7" t="s">
        <v>11</v>
      </c>
      <c r="D166" s="8">
        <v>40.70002</v>
      </c>
      <c r="E166" s="8">
        <v>56.98535</v>
      </c>
      <c r="F166" s="9">
        <v>-16.285329999999995</v>
      </c>
    </row>
    <row r="167">
      <c r="A167" s="5" t="s">
        <v>338</v>
      </c>
      <c r="B167" s="6" t="s">
        <v>339</v>
      </c>
      <c r="C167" s="7" t="s">
        <v>8</v>
      </c>
      <c r="D167" s="8">
        <v>51.15961</v>
      </c>
      <c r="E167" s="8">
        <v>46.70854</v>
      </c>
      <c r="F167" s="10">
        <v>4.451070000000001</v>
      </c>
    </row>
    <row r="168">
      <c r="A168" s="5" t="s">
        <v>340</v>
      </c>
      <c r="B168" s="6" t="s">
        <v>341</v>
      </c>
      <c r="C168" s="7" t="s">
        <v>11</v>
      </c>
      <c r="D168" s="8">
        <v>37.96866</v>
      </c>
      <c r="E168" s="8">
        <v>59.7145</v>
      </c>
      <c r="F168" s="9">
        <v>-21.74584</v>
      </c>
    </row>
    <row r="169">
      <c r="A169" s="5" t="s">
        <v>342</v>
      </c>
      <c r="B169" s="6" t="s">
        <v>343</v>
      </c>
      <c r="C169" s="7" t="s">
        <v>11</v>
      </c>
      <c r="D169" s="8">
        <v>27.88322</v>
      </c>
      <c r="E169" s="8">
        <v>70.62035</v>
      </c>
      <c r="F169" s="9">
        <v>-42.73713</v>
      </c>
    </row>
    <row r="170">
      <c r="A170" s="5" t="s">
        <v>344</v>
      </c>
      <c r="B170" s="6" t="s">
        <v>345</v>
      </c>
      <c r="C170" s="7" t="s">
        <v>11</v>
      </c>
      <c r="D170" s="8">
        <v>30.78074</v>
      </c>
      <c r="E170" s="8">
        <v>67.5176</v>
      </c>
      <c r="F170" s="9">
        <v>-36.73686</v>
      </c>
    </row>
    <row r="171">
      <c r="A171" s="5" t="s">
        <v>346</v>
      </c>
      <c r="B171" s="6" t="s">
        <v>347</v>
      </c>
      <c r="C171" s="7" t="s">
        <v>8</v>
      </c>
      <c r="D171" s="8">
        <v>60.23234</v>
      </c>
      <c r="E171" s="8">
        <v>37.88593</v>
      </c>
      <c r="F171" s="10">
        <v>22.34641</v>
      </c>
    </row>
    <row r="172">
      <c r="A172" s="5" t="s">
        <v>348</v>
      </c>
      <c r="B172" s="6" t="s">
        <v>349</v>
      </c>
      <c r="C172" s="7" t="s">
        <v>11</v>
      </c>
      <c r="D172" s="8">
        <v>32.83531</v>
      </c>
      <c r="E172" s="8">
        <v>65.35458</v>
      </c>
      <c r="F172" s="9">
        <v>-32.51927</v>
      </c>
    </row>
    <row r="173">
      <c r="A173" s="5" t="s">
        <v>350</v>
      </c>
      <c r="B173" s="6" t="s">
        <v>351</v>
      </c>
      <c r="C173" s="7" t="s">
        <v>11</v>
      </c>
      <c r="D173" s="8">
        <v>19.68099</v>
      </c>
      <c r="E173" s="8">
        <v>79.05306</v>
      </c>
      <c r="F173" s="9">
        <v>-59.37207</v>
      </c>
    </row>
    <row r="174">
      <c r="A174" s="5" t="s">
        <v>352</v>
      </c>
      <c r="B174" s="6" t="s">
        <v>353</v>
      </c>
      <c r="C174" s="7" t="s">
        <v>11</v>
      </c>
      <c r="D174" s="8">
        <v>43.50815</v>
      </c>
      <c r="E174" s="8">
        <v>54.49794</v>
      </c>
      <c r="F174" s="9">
        <v>-10.98979</v>
      </c>
    </row>
    <row r="175">
      <c r="A175" s="5" t="s">
        <v>354</v>
      </c>
      <c r="B175" s="6" t="s">
        <v>355</v>
      </c>
      <c r="C175" s="7" t="s">
        <v>11</v>
      </c>
      <c r="D175" s="8">
        <v>29.59791</v>
      </c>
      <c r="E175" s="8">
        <v>68.54833</v>
      </c>
      <c r="F175" s="9">
        <v>-38.95042000000001</v>
      </c>
    </row>
    <row r="176">
      <c r="A176" s="5" t="s">
        <v>356</v>
      </c>
      <c r="B176" s="6" t="s">
        <v>357</v>
      </c>
      <c r="C176" s="7" t="s">
        <v>8</v>
      </c>
      <c r="D176" s="8">
        <v>75.394</v>
      </c>
      <c r="E176" s="8">
        <v>22.94264</v>
      </c>
      <c r="F176" s="10">
        <v>52.45136000000001</v>
      </c>
    </row>
    <row r="177">
      <c r="A177" s="5" t="s">
        <v>358</v>
      </c>
      <c r="B177" s="6" t="s">
        <v>359</v>
      </c>
      <c r="C177" s="7" t="s">
        <v>11</v>
      </c>
      <c r="D177" s="8">
        <v>30.31068</v>
      </c>
      <c r="E177" s="8">
        <v>67.96008</v>
      </c>
      <c r="F177" s="9">
        <v>-37.6494</v>
      </c>
    </row>
    <row r="178">
      <c r="A178" s="5" t="s">
        <v>360</v>
      </c>
      <c r="B178" s="6" t="s">
        <v>361</v>
      </c>
      <c r="C178" s="7" t="s">
        <v>11</v>
      </c>
      <c r="D178" s="8">
        <v>37.17924</v>
      </c>
      <c r="E178" s="8">
        <v>61.30267</v>
      </c>
      <c r="F178" s="9">
        <v>-24.12343</v>
      </c>
    </row>
    <row r="179">
      <c r="A179" s="5" t="s">
        <v>362</v>
      </c>
      <c r="B179" s="6" t="s">
        <v>363</v>
      </c>
      <c r="C179" s="7" t="s">
        <v>11</v>
      </c>
      <c r="D179" s="8">
        <v>34.43755</v>
      </c>
      <c r="E179" s="8">
        <v>64.09226</v>
      </c>
      <c r="F179" s="9">
        <v>-29.654709999999994</v>
      </c>
    </row>
    <row r="180">
      <c r="A180" s="5" t="s">
        <v>364</v>
      </c>
      <c r="B180" s="6" t="s">
        <v>365</v>
      </c>
      <c r="C180" s="7" t="s">
        <v>11</v>
      </c>
      <c r="D180" s="8">
        <v>33.85687</v>
      </c>
      <c r="E180" s="8">
        <v>64.27444</v>
      </c>
      <c r="F180" s="9">
        <v>-30.417569999999998</v>
      </c>
    </row>
    <row r="181">
      <c r="A181" s="5" t="s">
        <v>366</v>
      </c>
      <c r="B181" s="6" t="s">
        <v>367</v>
      </c>
      <c r="C181" s="7" t="s">
        <v>8</v>
      </c>
      <c r="D181" s="8">
        <v>59.82349</v>
      </c>
      <c r="E181" s="8">
        <v>38.1636</v>
      </c>
      <c r="F181" s="10">
        <v>21.659889999999997</v>
      </c>
    </row>
    <row r="182">
      <c r="A182" s="5" t="s">
        <v>368</v>
      </c>
      <c r="B182" s="6" t="s">
        <v>369</v>
      </c>
      <c r="C182" s="7" t="s">
        <v>8</v>
      </c>
      <c r="D182" s="8">
        <v>64.32927</v>
      </c>
      <c r="E182" s="8">
        <v>33.49963</v>
      </c>
      <c r="F182" s="10">
        <v>30.82963999999999</v>
      </c>
    </row>
    <row r="183">
      <c r="A183" s="5" t="s">
        <v>370</v>
      </c>
      <c r="B183" s="6" t="s">
        <v>371</v>
      </c>
      <c r="C183" s="7" t="s">
        <v>8</v>
      </c>
      <c r="D183" s="8">
        <v>62.66468</v>
      </c>
      <c r="E183" s="8">
        <v>35.25192</v>
      </c>
      <c r="F183" s="10">
        <v>27.41276</v>
      </c>
    </row>
    <row r="184">
      <c r="A184" s="5" t="s">
        <v>372</v>
      </c>
      <c r="B184" s="6" t="s">
        <v>373</v>
      </c>
      <c r="C184" s="7" t="s">
        <v>8</v>
      </c>
      <c r="D184" s="8">
        <v>63.30775</v>
      </c>
      <c r="E184" s="8">
        <v>34.84412</v>
      </c>
      <c r="F184" s="10">
        <v>28.463630000000002</v>
      </c>
    </row>
    <row r="185">
      <c r="A185" s="5" t="s">
        <v>374</v>
      </c>
      <c r="B185" s="6" t="s">
        <v>375</v>
      </c>
      <c r="C185" s="7" t="s">
        <v>8</v>
      </c>
      <c r="D185" s="8">
        <v>74.76599</v>
      </c>
      <c r="E185" s="8">
        <v>23.6188</v>
      </c>
      <c r="F185" s="10">
        <v>51.14719</v>
      </c>
    </row>
    <row r="186">
      <c r="A186" s="5" t="s">
        <v>376</v>
      </c>
      <c r="B186" s="6" t="s">
        <v>377</v>
      </c>
      <c r="C186" s="7" t="s">
        <v>8</v>
      </c>
      <c r="D186" s="8">
        <v>62.92933</v>
      </c>
      <c r="E186" s="8">
        <v>35.31969</v>
      </c>
      <c r="F186" s="10">
        <v>27.60964</v>
      </c>
    </row>
    <row r="187">
      <c r="A187" s="5" t="s">
        <v>378</v>
      </c>
      <c r="B187" s="6" t="s">
        <v>379</v>
      </c>
      <c r="C187" s="7" t="s">
        <v>8</v>
      </c>
      <c r="D187" s="8">
        <v>85.54387</v>
      </c>
      <c r="E187" s="8">
        <v>13.09776</v>
      </c>
      <c r="F187" s="10">
        <v>72.44611</v>
      </c>
    </row>
    <row r="188">
      <c r="A188" s="5" t="s">
        <v>380</v>
      </c>
      <c r="B188" s="6" t="s">
        <v>381</v>
      </c>
      <c r="C188" s="7" t="s">
        <v>8</v>
      </c>
      <c r="D188" s="8">
        <v>66.90076</v>
      </c>
      <c r="E188" s="8">
        <v>31.43528</v>
      </c>
      <c r="F188" s="10">
        <v>35.46548000000001</v>
      </c>
    </row>
    <row r="189">
      <c r="A189" s="5" t="s">
        <v>382</v>
      </c>
      <c r="B189" s="6" t="s">
        <v>383</v>
      </c>
      <c r="C189" s="7" t="s">
        <v>8</v>
      </c>
      <c r="D189" s="8">
        <v>58.19582</v>
      </c>
      <c r="E189" s="8">
        <v>40.01467</v>
      </c>
      <c r="F189" s="10">
        <v>18.181149999999995</v>
      </c>
    </row>
    <row r="190">
      <c r="A190" s="5" t="s">
        <v>384</v>
      </c>
      <c r="B190" s="6" t="s">
        <v>385</v>
      </c>
      <c r="C190" s="7" t="s">
        <v>11</v>
      </c>
      <c r="D190" s="8">
        <v>41.71795</v>
      </c>
      <c r="E190" s="8">
        <v>56.25054</v>
      </c>
      <c r="F190" s="9">
        <v>-14.532589999999999</v>
      </c>
    </row>
    <row r="191">
      <c r="A191" s="5" t="s">
        <v>386</v>
      </c>
      <c r="B191" s="6" t="s">
        <v>387</v>
      </c>
      <c r="C191" s="7" t="s">
        <v>8</v>
      </c>
      <c r="D191" s="8">
        <v>59.4287</v>
      </c>
      <c r="E191" s="8">
        <v>38.59731</v>
      </c>
      <c r="F191" s="10">
        <v>20.83139</v>
      </c>
    </row>
    <row r="192">
      <c r="A192" s="5" t="s">
        <v>388</v>
      </c>
      <c r="B192" s="6" t="s">
        <v>389</v>
      </c>
      <c r="C192" s="7" t="s">
        <v>8</v>
      </c>
      <c r="D192" s="8">
        <v>61.74023</v>
      </c>
      <c r="E192" s="8">
        <v>36.22006</v>
      </c>
      <c r="F192" s="10">
        <v>25.52017</v>
      </c>
    </row>
    <row r="193">
      <c r="A193" s="5" t="s">
        <v>390</v>
      </c>
      <c r="B193" s="6" t="s">
        <v>391</v>
      </c>
      <c r="C193" s="7" t="s">
        <v>8</v>
      </c>
      <c r="D193" s="8">
        <v>89.64904</v>
      </c>
      <c r="E193" s="8">
        <v>8.66372</v>
      </c>
      <c r="F193" s="10">
        <v>80.98532</v>
      </c>
    </row>
    <row r="194">
      <c r="A194" s="5" t="s">
        <v>392</v>
      </c>
      <c r="B194" s="6" t="s">
        <v>393</v>
      </c>
      <c r="C194" s="7" t="s">
        <v>8</v>
      </c>
      <c r="D194" s="8">
        <v>67.40028</v>
      </c>
      <c r="E194" s="8">
        <v>30.91598</v>
      </c>
      <c r="F194" s="10">
        <v>36.48429999999999</v>
      </c>
    </row>
    <row r="195">
      <c r="A195" s="5" t="s">
        <v>394</v>
      </c>
      <c r="B195" s="6" t="s">
        <v>395</v>
      </c>
      <c r="C195" s="7" t="s">
        <v>8</v>
      </c>
      <c r="D195" s="8">
        <v>53.91125</v>
      </c>
      <c r="E195" s="8">
        <v>44.0837</v>
      </c>
      <c r="F195" s="10">
        <v>9.827550000000002</v>
      </c>
    </row>
    <row r="196">
      <c r="A196" s="5" t="s">
        <v>396</v>
      </c>
      <c r="B196" s="6" t="s">
        <v>397</v>
      </c>
      <c r="C196" s="7" t="s">
        <v>8</v>
      </c>
      <c r="D196" s="8">
        <v>80.96567</v>
      </c>
      <c r="E196" s="8">
        <v>17.47213</v>
      </c>
      <c r="F196" s="10">
        <v>63.49354</v>
      </c>
    </row>
    <row r="197">
      <c r="A197" s="5" t="s">
        <v>398</v>
      </c>
      <c r="B197" s="6" t="s">
        <v>399</v>
      </c>
      <c r="C197" s="7" t="s">
        <v>8</v>
      </c>
      <c r="D197" s="8">
        <v>80.51878</v>
      </c>
      <c r="E197" s="8">
        <v>17.91823</v>
      </c>
      <c r="F197" s="10">
        <v>62.600550000000005</v>
      </c>
    </row>
    <row r="198">
      <c r="A198" s="5" t="s">
        <v>400</v>
      </c>
      <c r="B198" s="6" t="s">
        <v>401</v>
      </c>
      <c r="C198" s="7" t="s">
        <v>8</v>
      </c>
      <c r="D198" s="8">
        <v>59.98688</v>
      </c>
      <c r="E198" s="8">
        <v>37.18521</v>
      </c>
      <c r="F198" s="10">
        <v>22.80167</v>
      </c>
    </row>
    <row r="199">
      <c r="A199" s="5" t="s">
        <v>402</v>
      </c>
      <c r="B199" s="6" t="s">
        <v>403</v>
      </c>
      <c r="C199" s="7" t="s">
        <v>8</v>
      </c>
      <c r="D199" s="8">
        <v>45.48682</v>
      </c>
      <c r="E199" s="8">
        <v>51.58347</v>
      </c>
      <c r="F199" s="9">
        <v>-6.096649999999997</v>
      </c>
    </row>
    <row r="200">
      <c r="A200" s="5" t="s">
        <v>404</v>
      </c>
      <c r="B200" s="6" t="s">
        <v>405</v>
      </c>
      <c r="C200" s="7" t="s">
        <v>11</v>
      </c>
      <c r="D200" s="8">
        <v>39.34114</v>
      </c>
      <c r="E200" s="8">
        <v>59.12033</v>
      </c>
      <c r="F200" s="9">
        <v>-19.77919</v>
      </c>
    </row>
    <row r="201">
      <c r="A201" s="5" t="s">
        <v>406</v>
      </c>
      <c r="B201" s="12" t="s">
        <v>407</v>
      </c>
      <c r="C201" s="7" t="s">
        <v>11</v>
      </c>
      <c r="D201" s="8">
        <v>35.02594</v>
      </c>
      <c r="E201" s="8">
        <v>63.24035</v>
      </c>
      <c r="F201" s="9">
        <v>-28.21441</v>
      </c>
    </row>
    <row r="202">
      <c r="A202" s="5" t="s">
        <v>408</v>
      </c>
      <c r="B202" s="6" t="s">
        <v>409</v>
      </c>
      <c r="C202" s="7" t="s">
        <v>8</v>
      </c>
      <c r="D202" s="8">
        <v>53.27291</v>
      </c>
      <c r="E202" s="8">
        <v>44.78247</v>
      </c>
      <c r="F202" s="10">
        <v>8.49044</v>
      </c>
    </row>
    <row r="203">
      <c r="A203" s="5" t="s">
        <v>410</v>
      </c>
      <c r="B203" s="6" t="s">
        <v>411</v>
      </c>
      <c r="C203" s="7" t="s">
        <v>11</v>
      </c>
      <c r="D203" s="8">
        <v>47.11042</v>
      </c>
      <c r="E203" s="8">
        <v>51.05367</v>
      </c>
      <c r="F203" s="9">
        <v>-3.943249999999999</v>
      </c>
    </row>
    <row r="204">
      <c r="A204" s="5" t="s">
        <v>412</v>
      </c>
      <c r="B204" s="6" t="s">
        <v>413</v>
      </c>
      <c r="C204" s="7" t="s">
        <v>11</v>
      </c>
      <c r="D204" s="8">
        <v>37.05128</v>
      </c>
      <c r="E204" s="8">
        <v>61.21437</v>
      </c>
      <c r="F204" s="9">
        <v>-24.163090000000004</v>
      </c>
    </row>
    <row r="205">
      <c r="A205" s="5" t="s">
        <v>414</v>
      </c>
      <c r="B205" s="6" t="s">
        <v>415</v>
      </c>
      <c r="C205" s="7" t="s">
        <v>8</v>
      </c>
      <c r="D205" s="8">
        <v>62.68225</v>
      </c>
      <c r="E205" s="8">
        <v>36.00888</v>
      </c>
      <c r="F205" s="10">
        <v>26.673370000000006</v>
      </c>
    </row>
    <row r="206">
      <c r="A206" s="5" t="s">
        <v>416</v>
      </c>
      <c r="B206" s="6" t="s">
        <v>417</v>
      </c>
      <c r="C206" s="7" t="s">
        <v>8</v>
      </c>
      <c r="D206" s="8">
        <v>49.39617</v>
      </c>
      <c r="E206" s="8">
        <v>48.87308</v>
      </c>
      <c r="F206" s="10">
        <v>0.5230899999999963</v>
      </c>
    </row>
    <row r="207">
      <c r="A207" s="5" t="s">
        <v>418</v>
      </c>
      <c r="B207" s="6" t="s">
        <v>419</v>
      </c>
      <c r="C207" s="7" t="s">
        <v>8</v>
      </c>
      <c r="D207" s="8">
        <v>50.25703</v>
      </c>
      <c r="E207" s="8">
        <v>48.22839</v>
      </c>
      <c r="F207" s="10">
        <v>2.028640000000003</v>
      </c>
    </row>
    <row r="208">
      <c r="A208" s="5" t="s">
        <v>420</v>
      </c>
      <c r="B208" s="6" t="s">
        <v>421</v>
      </c>
      <c r="C208" s="7" t="s">
        <v>11</v>
      </c>
      <c r="D208" s="8">
        <v>34.5551</v>
      </c>
      <c r="E208" s="8">
        <v>64.00932</v>
      </c>
      <c r="F208" s="9">
        <v>-29.45422</v>
      </c>
    </row>
    <row r="209">
      <c r="A209" s="5" t="s">
        <v>422</v>
      </c>
      <c r="B209" s="6" t="s">
        <v>423</v>
      </c>
      <c r="C209" s="7" t="s">
        <v>11</v>
      </c>
      <c r="D209" s="8">
        <v>48.84943</v>
      </c>
      <c r="E209" s="8">
        <v>49.82842</v>
      </c>
      <c r="F209" s="9">
        <v>-0.9789900000000031</v>
      </c>
    </row>
    <row r="210">
      <c r="A210" s="5" t="s">
        <v>424</v>
      </c>
      <c r="B210" s="6" t="s">
        <v>425</v>
      </c>
      <c r="C210" s="7" t="s">
        <v>8</v>
      </c>
      <c r="D210" s="8">
        <v>59.25293</v>
      </c>
      <c r="E210" s="8">
        <v>39.41969</v>
      </c>
      <c r="F210" s="10">
        <v>19.833239999999996</v>
      </c>
    </row>
    <row r="211">
      <c r="A211" s="5" t="s">
        <v>426</v>
      </c>
      <c r="B211" s="6" t="s">
        <v>427</v>
      </c>
      <c r="C211" s="7" t="s">
        <v>8</v>
      </c>
      <c r="D211" s="8">
        <v>73.69338</v>
      </c>
      <c r="E211" s="8">
        <v>25.15621</v>
      </c>
      <c r="F211" s="10">
        <v>48.53717</v>
      </c>
    </row>
    <row r="212">
      <c r="A212" s="5" t="s">
        <v>428</v>
      </c>
      <c r="B212" s="6" t="s">
        <v>429</v>
      </c>
      <c r="C212" s="7" t="s">
        <v>8</v>
      </c>
      <c r="D212" s="8">
        <v>74.18944</v>
      </c>
      <c r="E212" s="8">
        <v>24.63443</v>
      </c>
      <c r="F212" s="10">
        <v>49.55501000000001</v>
      </c>
    </row>
    <row r="213">
      <c r="A213" s="5" t="s">
        <v>430</v>
      </c>
      <c r="B213" s="6" t="s">
        <v>431</v>
      </c>
      <c r="C213" s="7" t="s">
        <v>11</v>
      </c>
      <c r="D213" s="8">
        <v>44.32139</v>
      </c>
      <c r="E213" s="8">
        <v>53.52426</v>
      </c>
      <c r="F213" s="9">
        <v>-9.202869999999997</v>
      </c>
    </row>
    <row r="214">
      <c r="A214" s="5" t="s">
        <v>432</v>
      </c>
      <c r="B214" s="6" t="s">
        <v>433</v>
      </c>
      <c r="C214" s="7" t="s">
        <v>8</v>
      </c>
      <c r="D214" s="8">
        <v>52.53833</v>
      </c>
      <c r="E214" s="8">
        <v>45.36294</v>
      </c>
      <c r="F214" s="10">
        <v>7.17539</v>
      </c>
    </row>
    <row r="215">
      <c r="A215" s="5" t="s">
        <v>434</v>
      </c>
      <c r="B215" s="6" t="s">
        <v>435</v>
      </c>
      <c r="C215" s="7" t="s">
        <v>8</v>
      </c>
      <c r="D215" s="8">
        <v>59.51064</v>
      </c>
      <c r="E215" s="8">
        <v>38.53201</v>
      </c>
      <c r="F215" s="10">
        <v>20.978630000000003</v>
      </c>
    </row>
    <row r="216">
      <c r="A216" s="5" t="s">
        <v>436</v>
      </c>
      <c r="B216" s="6" t="s">
        <v>437</v>
      </c>
      <c r="C216" s="7" t="s">
        <v>8</v>
      </c>
      <c r="D216" s="8">
        <v>67.83551</v>
      </c>
      <c r="E216" s="8">
        <v>30.19466</v>
      </c>
      <c r="F216" s="10">
        <v>37.64085</v>
      </c>
    </row>
    <row r="217">
      <c r="A217" s="5" t="s">
        <v>438</v>
      </c>
      <c r="B217" s="6" t="s">
        <v>439</v>
      </c>
      <c r="C217" s="7" t="s">
        <v>8</v>
      </c>
      <c r="D217" s="8">
        <v>80.55791</v>
      </c>
      <c r="E217" s="8">
        <v>17.43667</v>
      </c>
      <c r="F217" s="10">
        <v>63.12124000000001</v>
      </c>
    </row>
    <row r="218">
      <c r="A218" s="5" t="s">
        <v>440</v>
      </c>
      <c r="B218" s="6" t="s">
        <v>441</v>
      </c>
      <c r="C218" s="7" t="s">
        <v>11</v>
      </c>
      <c r="D218" s="8">
        <v>40.08442</v>
      </c>
      <c r="E218" s="8">
        <v>57.72897</v>
      </c>
      <c r="F218" s="9">
        <v>-17.644549999999995</v>
      </c>
    </row>
    <row r="219">
      <c r="A219" s="5" t="s">
        <v>442</v>
      </c>
      <c r="B219" s="6" t="s">
        <v>443</v>
      </c>
      <c r="C219" s="7" t="s">
        <v>11</v>
      </c>
      <c r="D219" s="8">
        <v>32.47834</v>
      </c>
      <c r="E219" s="8">
        <v>65.69139</v>
      </c>
      <c r="F219" s="9">
        <v>-33.213049999999996</v>
      </c>
    </row>
    <row r="220">
      <c r="A220" s="5" t="s">
        <v>444</v>
      </c>
      <c r="B220" s="6" t="s">
        <v>445</v>
      </c>
      <c r="C220" s="7" t="s">
        <v>11</v>
      </c>
      <c r="D220" s="8">
        <v>43.35897</v>
      </c>
      <c r="E220" s="8">
        <v>54.66772</v>
      </c>
      <c r="F220" s="9">
        <v>-11.308750000000003</v>
      </c>
    </row>
    <row r="221">
      <c r="A221" s="5" t="s">
        <v>446</v>
      </c>
      <c r="B221" s="6" t="s">
        <v>447</v>
      </c>
      <c r="C221" s="7" t="s">
        <v>8</v>
      </c>
      <c r="D221" s="8">
        <v>78.38559</v>
      </c>
      <c r="E221" s="8">
        <v>20.01037</v>
      </c>
      <c r="F221" s="10">
        <v>58.37521999999999</v>
      </c>
    </row>
    <row r="222">
      <c r="A222" s="5" t="s">
        <v>448</v>
      </c>
      <c r="B222" s="6" t="s">
        <v>449</v>
      </c>
      <c r="C222" s="7" t="s">
        <v>11</v>
      </c>
      <c r="D222" s="8">
        <v>45.29414</v>
      </c>
      <c r="E222" s="8">
        <v>53.04473</v>
      </c>
      <c r="F222" s="9">
        <v>-7.7505900000000025</v>
      </c>
    </row>
    <row r="223">
      <c r="A223" s="5" t="s">
        <v>450</v>
      </c>
      <c r="B223" s="6" t="s">
        <v>451</v>
      </c>
      <c r="C223" s="7" t="s">
        <v>11</v>
      </c>
      <c r="D223" s="8">
        <v>35.89638</v>
      </c>
      <c r="E223" s="8">
        <v>62.21088</v>
      </c>
      <c r="F223" s="9">
        <v>-26.314500000000002</v>
      </c>
    </row>
    <row r="224">
      <c r="A224" s="5" t="s">
        <v>452</v>
      </c>
      <c r="B224" s="6" t="s">
        <v>453</v>
      </c>
      <c r="C224" s="7" t="s">
        <v>11</v>
      </c>
      <c r="D224" s="8">
        <v>29.34345</v>
      </c>
      <c r="E224" s="8">
        <v>68.691</v>
      </c>
      <c r="F224" s="9">
        <v>-39.34755</v>
      </c>
    </row>
    <row r="225">
      <c r="A225" s="5" t="s">
        <v>454</v>
      </c>
      <c r="B225" s="6" t="s">
        <v>455</v>
      </c>
      <c r="C225" s="7" t="s">
        <v>8</v>
      </c>
      <c r="D225" s="8">
        <v>62.15212</v>
      </c>
      <c r="E225" s="8">
        <v>35.85038</v>
      </c>
      <c r="F225" s="10">
        <v>26.301739999999995</v>
      </c>
    </row>
    <row r="226">
      <c r="A226" s="5" t="s">
        <v>456</v>
      </c>
      <c r="B226" s="6" t="s">
        <v>457</v>
      </c>
      <c r="C226" s="7" t="s">
        <v>11</v>
      </c>
      <c r="D226" s="8">
        <v>30.57937</v>
      </c>
      <c r="E226" s="8">
        <v>67.67717</v>
      </c>
      <c r="F226" s="9">
        <v>-37.09780000000001</v>
      </c>
    </row>
    <row r="227">
      <c r="A227" s="5" t="s">
        <v>458</v>
      </c>
      <c r="B227" s="6" t="s">
        <v>459</v>
      </c>
      <c r="C227" s="7" t="s">
        <v>11</v>
      </c>
      <c r="D227" s="8">
        <v>28.38373</v>
      </c>
      <c r="E227" s="8">
        <v>69.77468</v>
      </c>
      <c r="F227" s="9">
        <v>-41.390950000000004</v>
      </c>
    </row>
    <row r="228">
      <c r="A228" s="5" t="s">
        <v>460</v>
      </c>
      <c r="B228" s="6" t="s">
        <v>461</v>
      </c>
      <c r="C228" s="7" t="s">
        <v>11</v>
      </c>
      <c r="D228" s="8">
        <v>23.6112</v>
      </c>
      <c r="E228" s="8">
        <v>74.95965</v>
      </c>
      <c r="F228" s="9">
        <v>-51.34845</v>
      </c>
    </row>
    <row r="229">
      <c r="A229" s="5" t="s">
        <v>462</v>
      </c>
      <c r="B229" s="6" t="s">
        <v>463</v>
      </c>
      <c r="C229" s="7" t="s">
        <v>11</v>
      </c>
      <c r="D229" s="8">
        <v>33.4208</v>
      </c>
      <c r="E229" s="8">
        <v>65.11007</v>
      </c>
      <c r="F229" s="9">
        <v>-31.689269999999993</v>
      </c>
    </row>
    <row r="230">
      <c r="A230" s="5" t="s">
        <v>464</v>
      </c>
      <c r="B230" s="6" t="s">
        <v>465</v>
      </c>
      <c r="C230" s="7" t="s">
        <v>8</v>
      </c>
      <c r="D230" s="8">
        <v>62.46387</v>
      </c>
      <c r="E230" s="8">
        <v>36.37124</v>
      </c>
      <c r="F230" s="10">
        <v>26.09263</v>
      </c>
    </row>
    <row r="231">
      <c r="A231" s="5" t="s">
        <v>466</v>
      </c>
      <c r="B231" s="6" t="s">
        <v>467</v>
      </c>
      <c r="C231" s="7" t="s">
        <v>11</v>
      </c>
      <c r="D231" s="8">
        <v>37.21211</v>
      </c>
      <c r="E231" s="8">
        <v>61.54026</v>
      </c>
      <c r="F231" s="9">
        <v>-24.32815</v>
      </c>
    </row>
    <row r="232">
      <c r="A232" s="5" t="s">
        <v>468</v>
      </c>
      <c r="B232" s="6" t="s">
        <v>469</v>
      </c>
      <c r="C232" s="7" t="s">
        <v>11</v>
      </c>
      <c r="D232" s="8">
        <v>30.26068</v>
      </c>
      <c r="E232" s="8">
        <v>68.24558</v>
      </c>
      <c r="F232" s="9">
        <v>-37.9849</v>
      </c>
    </row>
    <row r="233">
      <c r="A233" s="5" t="s">
        <v>470</v>
      </c>
      <c r="B233" s="6" t="s">
        <v>471</v>
      </c>
      <c r="C233" s="7" t="s">
        <v>11</v>
      </c>
      <c r="D233" s="8">
        <v>45.29855</v>
      </c>
      <c r="E233" s="8">
        <v>52.17555</v>
      </c>
      <c r="F233" s="9">
        <v>-6.8770000000000024</v>
      </c>
    </row>
    <row r="234">
      <c r="A234" s="5" t="s">
        <v>472</v>
      </c>
      <c r="B234" s="6" t="s">
        <v>473</v>
      </c>
      <c r="C234" s="7" t="s">
        <v>11</v>
      </c>
      <c r="D234" s="8">
        <v>35.31581</v>
      </c>
      <c r="E234" s="8">
        <v>62.15666</v>
      </c>
      <c r="F234" s="9">
        <v>-26.840850000000003</v>
      </c>
    </row>
    <row r="235">
      <c r="A235" s="5" t="s">
        <v>474</v>
      </c>
      <c r="B235" s="6" t="s">
        <v>475</v>
      </c>
      <c r="C235" s="7" t="s">
        <v>8</v>
      </c>
      <c r="D235" s="8">
        <v>53.19143</v>
      </c>
      <c r="E235" s="8">
        <v>45.89027</v>
      </c>
      <c r="F235" s="10">
        <v>7.301159999999996</v>
      </c>
    </row>
    <row r="236">
      <c r="A236" s="5" t="s">
        <v>476</v>
      </c>
      <c r="B236" s="6" t="s">
        <v>477</v>
      </c>
      <c r="C236" s="7" t="s">
        <v>8</v>
      </c>
      <c r="D236" s="8">
        <v>63.60295</v>
      </c>
      <c r="E236" s="8">
        <v>34.8295</v>
      </c>
      <c r="F236" s="10">
        <v>28.773449999999997</v>
      </c>
    </row>
    <row r="237">
      <c r="A237" s="5" t="s">
        <v>478</v>
      </c>
      <c r="B237" s="6" t="s">
        <v>479</v>
      </c>
      <c r="C237" s="7" t="s">
        <v>11</v>
      </c>
      <c r="D237" s="8">
        <v>36.65574</v>
      </c>
      <c r="E237" s="8">
        <v>62.01555</v>
      </c>
      <c r="F237" s="9">
        <v>-25.359809999999996</v>
      </c>
    </row>
    <row r="238">
      <c r="A238" s="5" t="s">
        <v>480</v>
      </c>
      <c r="B238" s="6" t="s">
        <v>481</v>
      </c>
      <c r="C238" s="7" t="s">
        <v>8</v>
      </c>
      <c r="D238" s="8">
        <v>66.94586</v>
      </c>
      <c r="E238" s="8">
        <v>31.86673</v>
      </c>
      <c r="F238" s="10">
        <v>35.07912999999999</v>
      </c>
    </row>
    <row r="239">
      <c r="A239" s="5" t="s">
        <v>482</v>
      </c>
      <c r="B239" s="6" t="s">
        <v>483</v>
      </c>
      <c r="C239" s="7" t="s">
        <v>11</v>
      </c>
      <c r="D239" s="8">
        <v>38.77419</v>
      </c>
      <c r="E239" s="8">
        <v>60.07248</v>
      </c>
      <c r="F239" s="9">
        <v>-21.29829</v>
      </c>
    </row>
    <row r="240">
      <c r="A240" s="5" t="s">
        <v>484</v>
      </c>
      <c r="B240" s="6" t="s">
        <v>485</v>
      </c>
      <c r="C240" s="7" t="s">
        <v>8</v>
      </c>
      <c r="D240" s="8">
        <v>55.63054</v>
      </c>
      <c r="E240" s="8">
        <v>43.22171</v>
      </c>
      <c r="F240" s="10">
        <v>12.408830000000002</v>
      </c>
    </row>
    <row r="241">
      <c r="A241" s="5" t="s">
        <v>486</v>
      </c>
      <c r="B241" s="6" t="s">
        <v>487</v>
      </c>
      <c r="C241" s="7" t="s">
        <v>11</v>
      </c>
      <c r="D241" s="8">
        <v>43.05247</v>
      </c>
      <c r="E241" s="8">
        <v>55.78942</v>
      </c>
      <c r="F241" s="9">
        <v>-12.73695</v>
      </c>
    </row>
    <row r="242">
      <c r="A242" s="5" t="s">
        <v>488</v>
      </c>
      <c r="B242" s="6" t="s">
        <v>489</v>
      </c>
      <c r="C242" s="7" t="s">
        <v>11</v>
      </c>
      <c r="D242" s="8">
        <v>32.39986</v>
      </c>
      <c r="E242" s="8">
        <v>66.48933</v>
      </c>
      <c r="F242" s="9">
        <v>-34.08947</v>
      </c>
    </row>
    <row r="243">
      <c r="A243" s="5" t="s">
        <v>490</v>
      </c>
      <c r="B243" s="6" t="s">
        <v>491</v>
      </c>
      <c r="C243" s="7" t="s">
        <v>11</v>
      </c>
      <c r="D243" s="8">
        <v>45.34504</v>
      </c>
      <c r="E243" s="8">
        <v>53.32918</v>
      </c>
      <c r="F243" s="9">
        <v>-7.984140000000004</v>
      </c>
    </row>
    <row r="244">
      <c r="A244" s="5" t="s">
        <v>492</v>
      </c>
      <c r="B244" s="6" t="s">
        <v>493</v>
      </c>
      <c r="C244" s="7" t="s">
        <v>11</v>
      </c>
      <c r="D244" s="8">
        <v>29.69955</v>
      </c>
      <c r="E244" s="8">
        <v>69.24126</v>
      </c>
      <c r="F244" s="9">
        <v>-39.541709999999995</v>
      </c>
    </row>
    <row r="245">
      <c r="A245" s="5" t="s">
        <v>494</v>
      </c>
      <c r="B245" s="6" t="s">
        <v>495</v>
      </c>
      <c r="C245" s="7" t="s">
        <v>11</v>
      </c>
      <c r="D245" s="8">
        <v>44.25358</v>
      </c>
      <c r="E245" s="8">
        <v>54.41374</v>
      </c>
      <c r="F245" s="9">
        <v>-10.160159999999998</v>
      </c>
    </row>
    <row r="246">
      <c r="A246" s="5" t="s">
        <v>496</v>
      </c>
      <c r="B246" s="6" t="s">
        <v>497</v>
      </c>
      <c r="C246" s="7" t="s">
        <v>8</v>
      </c>
      <c r="D246" s="8">
        <v>64.42484</v>
      </c>
      <c r="E246" s="8">
        <v>34.24786</v>
      </c>
      <c r="F246" s="10">
        <v>30.17698</v>
      </c>
    </row>
    <row r="247">
      <c r="A247" s="5" t="s">
        <v>498</v>
      </c>
      <c r="B247" s="6" t="s">
        <v>499</v>
      </c>
      <c r="C247" s="7" t="s">
        <v>8</v>
      </c>
      <c r="D247" s="8">
        <v>50.10421</v>
      </c>
      <c r="E247" s="8">
        <v>48.40571</v>
      </c>
      <c r="F247" s="10">
        <v>1.6985000000000028</v>
      </c>
    </row>
    <row r="248">
      <c r="A248" s="5" t="s">
        <v>500</v>
      </c>
      <c r="B248" s="6" t="s">
        <v>501</v>
      </c>
      <c r="C248" s="7" t="s">
        <v>8</v>
      </c>
      <c r="D248" s="8">
        <v>57.49569</v>
      </c>
      <c r="E248" s="8">
        <v>41.08811</v>
      </c>
      <c r="F248" s="10">
        <v>16.407580000000003</v>
      </c>
    </row>
    <row r="249">
      <c r="A249" s="5" t="s">
        <v>502</v>
      </c>
      <c r="B249" s="6" t="s">
        <v>503</v>
      </c>
      <c r="C249" s="7" t="s">
        <v>11</v>
      </c>
      <c r="D249" s="8">
        <v>31.92698</v>
      </c>
      <c r="E249" s="8">
        <v>65.46306</v>
      </c>
      <c r="F249" s="9">
        <v>-33.53608</v>
      </c>
    </row>
    <row r="250">
      <c r="A250" s="5" t="s">
        <v>504</v>
      </c>
      <c r="B250" s="6" t="s">
        <v>505</v>
      </c>
      <c r="C250" s="7" t="s">
        <v>11</v>
      </c>
      <c r="D250" s="8">
        <v>43.28017</v>
      </c>
      <c r="E250" s="8">
        <v>54.3412</v>
      </c>
      <c r="F250" s="9">
        <v>-11.061030000000002</v>
      </c>
    </row>
    <row r="251">
      <c r="A251" s="5" t="s">
        <v>506</v>
      </c>
      <c r="B251" s="6" t="s">
        <v>507</v>
      </c>
      <c r="C251" s="7" t="s">
        <v>11</v>
      </c>
      <c r="D251" s="8">
        <v>52.16311</v>
      </c>
      <c r="E251" s="8">
        <v>45.83291</v>
      </c>
      <c r="F251" s="10">
        <v>6.330200000000005</v>
      </c>
    </row>
    <row r="252">
      <c r="A252" s="5" t="s">
        <v>508</v>
      </c>
      <c r="B252" s="6" t="s">
        <v>509</v>
      </c>
      <c r="C252" s="7" t="s">
        <v>11</v>
      </c>
      <c r="D252" s="8">
        <v>23.07806</v>
      </c>
      <c r="E252" s="8">
        <v>74.9101</v>
      </c>
      <c r="F252" s="9">
        <v>-51.83204</v>
      </c>
    </row>
    <row r="253">
      <c r="A253" s="5" t="s">
        <v>510</v>
      </c>
      <c r="B253" s="6" t="s">
        <v>511</v>
      </c>
      <c r="C253" s="7" t="s">
        <v>8</v>
      </c>
      <c r="D253" s="8">
        <v>52.16048</v>
      </c>
      <c r="E253" s="8">
        <v>46.23287</v>
      </c>
      <c r="F253" s="10">
        <v>5.927610000000001</v>
      </c>
    </row>
    <row r="254">
      <c r="A254" s="5" t="s">
        <v>512</v>
      </c>
      <c r="B254" s="6" t="s">
        <v>513</v>
      </c>
      <c r="C254" s="7" t="s">
        <v>8</v>
      </c>
      <c r="D254" s="8">
        <v>53.5717</v>
      </c>
      <c r="E254" s="8">
        <v>44.74147</v>
      </c>
      <c r="F254" s="10">
        <v>8.83023</v>
      </c>
    </row>
    <row r="255">
      <c r="A255" s="5" t="s">
        <v>514</v>
      </c>
      <c r="B255" s="6" t="s">
        <v>515</v>
      </c>
      <c r="C255" s="7" t="s">
        <v>8</v>
      </c>
      <c r="D255" s="8">
        <v>61.53943</v>
      </c>
      <c r="E255" s="8">
        <v>37.11232</v>
      </c>
      <c r="F255" s="10">
        <v>24.427110000000006</v>
      </c>
    </row>
    <row r="256">
      <c r="A256" s="5" t="s">
        <v>516</v>
      </c>
      <c r="B256" s="6" t="s">
        <v>517</v>
      </c>
      <c r="C256" s="7" t="s">
        <v>11</v>
      </c>
      <c r="D256" s="8">
        <v>46.88525</v>
      </c>
      <c r="E256" s="8">
        <v>51.80163</v>
      </c>
      <c r="F256" s="9">
        <v>-4.916380000000004</v>
      </c>
    </row>
    <row r="257">
      <c r="A257" s="5" t="s">
        <v>518</v>
      </c>
      <c r="B257" s="6" t="s">
        <v>519</v>
      </c>
      <c r="C257" s="7" t="s">
        <v>8</v>
      </c>
      <c r="D257" s="8">
        <v>56.34304</v>
      </c>
      <c r="E257" s="8">
        <v>42.34563</v>
      </c>
      <c r="F257" s="10">
        <v>13.997410000000002</v>
      </c>
    </row>
    <row r="258">
      <c r="A258" s="5" t="s">
        <v>520</v>
      </c>
      <c r="B258" s="6" t="s">
        <v>521</v>
      </c>
      <c r="C258" s="7" t="s">
        <v>11</v>
      </c>
      <c r="D258" s="8">
        <v>38.13343</v>
      </c>
      <c r="E258" s="8">
        <v>60.56678</v>
      </c>
      <c r="F258" s="9">
        <v>-22.433350000000004</v>
      </c>
    </row>
    <row r="259">
      <c r="A259" s="5" t="s">
        <v>522</v>
      </c>
      <c r="B259" s="6" t="s">
        <v>523</v>
      </c>
      <c r="C259" s="7" t="s">
        <v>8</v>
      </c>
      <c r="D259" s="8">
        <v>55.56943</v>
      </c>
      <c r="E259" s="8">
        <v>43.17025</v>
      </c>
      <c r="F259" s="10">
        <v>12.399179999999994</v>
      </c>
    </row>
    <row r="260">
      <c r="A260" s="5" t="s">
        <v>524</v>
      </c>
      <c r="B260" s="6" t="s">
        <v>525</v>
      </c>
      <c r="C260" s="7" t="s">
        <v>8</v>
      </c>
      <c r="D260" s="8">
        <v>58.97503</v>
      </c>
      <c r="E260" s="8">
        <v>39.72951</v>
      </c>
      <c r="F260" s="10">
        <v>19.24552</v>
      </c>
    </row>
    <row r="261">
      <c r="A261" s="5" t="s">
        <v>526</v>
      </c>
      <c r="B261" s="6" t="s">
        <v>527</v>
      </c>
      <c r="C261" s="7" t="s">
        <v>11</v>
      </c>
      <c r="D261" s="8">
        <v>51.11579</v>
      </c>
      <c r="E261" s="8">
        <v>47.25971</v>
      </c>
      <c r="F261" s="10">
        <v>3.8560799999999986</v>
      </c>
    </row>
    <row r="262">
      <c r="A262" s="5" t="s">
        <v>528</v>
      </c>
      <c r="B262" s="6" t="s">
        <v>529</v>
      </c>
      <c r="C262" s="7" t="s">
        <v>8</v>
      </c>
      <c r="D262" s="8">
        <v>72.14346</v>
      </c>
      <c r="E262" s="8">
        <v>26.81423</v>
      </c>
      <c r="F262" s="10">
        <v>45.32923000000001</v>
      </c>
    </row>
    <row r="263">
      <c r="A263" s="5" t="s">
        <v>530</v>
      </c>
      <c r="B263" s="6" t="s">
        <v>531</v>
      </c>
      <c r="C263" s="7" t="s">
        <v>8</v>
      </c>
      <c r="D263" s="8">
        <v>58.91795</v>
      </c>
      <c r="E263" s="8">
        <v>40.01458</v>
      </c>
      <c r="F263" s="10">
        <v>18.903369999999995</v>
      </c>
    </row>
    <row r="264">
      <c r="A264" s="5" t="s">
        <v>532</v>
      </c>
      <c r="B264" s="6" t="s">
        <v>533</v>
      </c>
      <c r="C264" s="7" t="s">
        <v>8</v>
      </c>
      <c r="D264" s="8">
        <v>80.61747</v>
      </c>
      <c r="E264" s="8">
        <v>18.5731</v>
      </c>
      <c r="F264" s="10">
        <v>62.04437</v>
      </c>
    </row>
    <row r="265">
      <c r="A265" s="5" t="s">
        <v>534</v>
      </c>
      <c r="B265" s="6" t="s">
        <v>535</v>
      </c>
      <c r="C265" s="7" t="s">
        <v>8</v>
      </c>
      <c r="D265" s="8">
        <v>57.84106</v>
      </c>
      <c r="E265" s="8">
        <v>40.90827</v>
      </c>
      <c r="F265" s="10">
        <v>16.932789999999997</v>
      </c>
    </row>
    <row r="266">
      <c r="A266" s="5" t="s">
        <v>536</v>
      </c>
      <c r="B266" s="6" t="s">
        <v>537</v>
      </c>
      <c r="C266" s="7" t="s">
        <v>8</v>
      </c>
      <c r="D266" s="8">
        <v>66.56906</v>
      </c>
      <c r="E266" s="8">
        <v>32.13437</v>
      </c>
      <c r="F266" s="10">
        <v>34.434689999999996</v>
      </c>
    </row>
    <row r="267">
      <c r="A267" s="5" t="s">
        <v>538</v>
      </c>
      <c r="B267" s="6" t="s">
        <v>539</v>
      </c>
      <c r="C267" s="7" t="s">
        <v>8</v>
      </c>
      <c r="D267" s="8">
        <v>55.94601</v>
      </c>
      <c r="E267" s="8">
        <v>41.50231</v>
      </c>
      <c r="F267" s="10">
        <v>14.4437</v>
      </c>
    </row>
    <row r="268">
      <c r="A268" s="5" t="s">
        <v>540</v>
      </c>
      <c r="B268" s="6" t="s">
        <v>541</v>
      </c>
      <c r="C268" s="7" t="s">
        <v>8</v>
      </c>
      <c r="D268" s="8">
        <v>51.93122</v>
      </c>
      <c r="E268" s="8">
        <v>46.05235</v>
      </c>
      <c r="F268" s="10">
        <v>5.878870000000006</v>
      </c>
    </row>
    <row r="269">
      <c r="A269" s="5" t="s">
        <v>542</v>
      </c>
      <c r="B269" s="6" t="s">
        <v>543</v>
      </c>
      <c r="C269" s="7" t="s">
        <v>8</v>
      </c>
      <c r="D269" s="8">
        <v>54.38414</v>
      </c>
      <c r="E269" s="8">
        <v>43.63233</v>
      </c>
      <c r="F269" s="10">
        <v>10.751809999999999</v>
      </c>
    </row>
    <row r="270">
      <c r="A270" s="5" t="s">
        <v>544</v>
      </c>
      <c r="B270" s="6" t="s">
        <v>545</v>
      </c>
      <c r="C270" s="7" t="s">
        <v>8</v>
      </c>
      <c r="D270" s="8">
        <v>53.23105</v>
      </c>
      <c r="E270" s="8">
        <v>44.70523</v>
      </c>
      <c r="F270" s="10">
        <v>8.525820000000003</v>
      </c>
    </row>
    <row r="271">
      <c r="A271" s="5" t="s">
        <v>546</v>
      </c>
      <c r="B271" s="6" t="s">
        <v>547</v>
      </c>
      <c r="C271" s="7" t="s">
        <v>11</v>
      </c>
      <c r="D271" s="8">
        <v>43.05379</v>
      </c>
      <c r="E271" s="8">
        <v>54.07068</v>
      </c>
      <c r="F271" s="9">
        <v>-11.016890000000004</v>
      </c>
    </row>
    <row r="272">
      <c r="A272" s="5" t="s">
        <v>548</v>
      </c>
      <c r="B272" s="6" t="s">
        <v>549</v>
      </c>
      <c r="C272" s="7" t="s">
        <v>8</v>
      </c>
      <c r="D272" s="8">
        <v>52.3783</v>
      </c>
      <c r="E272" s="8">
        <v>45.7409</v>
      </c>
      <c r="F272" s="10">
        <v>6.6373999999999995</v>
      </c>
    </row>
    <row r="273">
      <c r="A273" s="5" t="s">
        <v>550</v>
      </c>
      <c r="B273" s="6" t="s">
        <v>551</v>
      </c>
      <c r="C273" s="7" t="s">
        <v>8</v>
      </c>
      <c r="D273" s="8">
        <v>53.03967</v>
      </c>
      <c r="E273" s="8">
        <v>44.77074</v>
      </c>
      <c r="F273" s="10">
        <v>8.268929999999997</v>
      </c>
    </row>
    <row r="274">
      <c r="A274" s="5" t="s">
        <v>552</v>
      </c>
      <c r="B274" s="6" t="s">
        <v>553</v>
      </c>
      <c r="C274" s="7" t="s">
        <v>11</v>
      </c>
      <c r="D274" s="8">
        <v>49.50461</v>
      </c>
      <c r="E274" s="8">
        <v>49.29132</v>
      </c>
      <c r="F274" s="10">
        <v>0.21329000000000065</v>
      </c>
    </row>
    <row r="275">
      <c r="A275" s="5" t="s">
        <v>554</v>
      </c>
      <c r="B275" s="6" t="s">
        <v>555</v>
      </c>
      <c r="C275" s="7" t="s">
        <v>11</v>
      </c>
      <c r="D275" s="8">
        <v>48.65702</v>
      </c>
      <c r="E275" s="8">
        <v>50.15699</v>
      </c>
      <c r="F275" s="9">
        <v>-1.4999699999999976</v>
      </c>
    </row>
    <row r="276">
      <c r="A276" s="5" t="s">
        <v>556</v>
      </c>
      <c r="B276" s="6" t="s">
        <v>557</v>
      </c>
      <c r="C276" s="7" t="s">
        <v>11</v>
      </c>
      <c r="D276" s="8">
        <v>53.59882</v>
      </c>
      <c r="E276" s="8">
        <v>45.42691</v>
      </c>
      <c r="F276" s="10">
        <v>8.171910000000004</v>
      </c>
    </row>
    <row r="277">
      <c r="A277" s="5" t="s">
        <v>558</v>
      </c>
      <c r="B277" s="6" t="s">
        <v>559</v>
      </c>
      <c r="C277" s="7" t="s">
        <v>11</v>
      </c>
      <c r="D277" s="8">
        <v>56.75969</v>
      </c>
      <c r="E277" s="8">
        <v>42.21673</v>
      </c>
      <c r="F277" s="10">
        <v>14.54296</v>
      </c>
    </row>
    <row r="278">
      <c r="A278" s="5" t="s">
        <v>560</v>
      </c>
      <c r="B278" s="6" t="s">
        <v>561</v>
      </c>
      <c r="C278" s="7" t="s">
        <v>8</v>
      </c>
      <c r="D278" s="8">
        <v>80.90333</v>
      </c>
      <c r="E278" s="8">
        <v>18.53494</v>
      </c>
      <c r="F278" s="10">
        <v>62.36839</v>
      </c>
    </row>
    <row r="279">
      <c r="A279" s="5" t="s">
        <v>562</v>
      </c>
      <c r="B279" s="6" t="s">
        <v>563</v>
      </c>
      <c r="C279" s="7" t="s">
        <v>8</v>
      </c>
      <c r="D279" s="8">
        <v>64.73535</v>
      </c>
      <c r="E279" s="8">
        <v>34.42083</v>
      </c>
      <c r="F279" s="10">
        <v>30.314519999999995</v>
      </c>
    </row>
    <row r="280">
      <c r="A280" s="5" t="s">
        <v>564</v>
      </c>
      <c r="B280" s="6" t="s">
        <v>565</v>
      </c>
      <c r="C280" s="7" t="s">
        <v>8</v>
      </c>
      <c r="D280" s="8">
        <v>80.84463</v>
      </c>
      <c r="E280" s="8">
        <v>18.22067</v>
      </c>
      <c r="F280" s="10">
        <v>62.62396</v>
      </c>
    </row>
    <row r="281">
      <c r="A281" s="5" t="s">
        <v>566</v>
      </c>
      <c r="B281" s="6" t="s">
        <v>567</v>
      </c>
      <c r="C281" s="7" t="s">
        <v>8</v>
      </c>
      <c r="D281" s="8">
        <v>76.27358</v>
      </c>
      <c r="E281" s="8">
        <v>23.07144</v>
      </c>
      <c r="F281" s="10">
        <v>53.20214</v>
      </c>
    </row>
    <row r="282">
      <c r="A282" s="5" t="s">
        <v>568</v>
      </c>
      <c r="B282" s="6" t="s">
        <v>569</v>
      </c>
      <c r="C282" s="7" t="s">
        <v>8</v>
      </c>
      <c r="D282" s="8">
        <v>75.43533</v>
      </c>
      <c r="E282" s="8">
        <v>23.88227</v>
      </c>
      <c r="F282" s="10">
        <v>51.553059999999995</v>
      </c>
    </row>
    <row r="283">
      <c r="A283" s="5" t="s">
        <v>570</v>
      </c>
      <c r="B283" s="6" t="s">
        <v>571</v>
      </c>
      <c r="C283" s="7" t="s">
        <v>8</v>
      </c>
      <c r="D283" s="8">
        <v>85.12239</v>
      </c>
      <c r="E283" s="8">
        <v>13.8813</v>
      </c>
      <c r="F283" s="10">
        <v>71.24109</v>
      </c>
    </row>
    <row r="284">
      <c r="A284" s="5" t="s">
        <v>572</v>
      </c>
      <c r="B284" s="6" t="s">
        <v>573</v>
      </c>
      <c r="C284" s="7" t="s">
        <v>11</v>
      </c>
      <c r="D284" s="8">
        <v>45.7228</v>
      </c>
      <c r="E284" s="8">
        <v>53.36318</v>
      </c>
      <c r="F284" s="9">
        <v>-7.64038</v>
      </c>
    </row>
    <row r="285">
      <c r="A285" s="5" t="s">
        <v>574</v>
      </c>
      <c r="B285" s="6" t="s">
        <v>575</v>
      </c>
      <c r="C285" s="7" t="s">
        <v>8</v>
      </c>
      <c r="D285" s="8">
        <v>85.19529</v>
      </c>
      <c r="E285" s="8">
        <v>13.81512</v>
      </c>
      <c r="F285" s="10">
        <v>71.38016999999999</v>
      </c>
    </row>
    <row r="286">
      <c r="A286" s="5" t="s">
        <v>576</v>
      </c>
      <c r="B286" s="6" t="s">
        <v>577</v>
      </c>
      <c r="C286" s="7" t="s">
        <v>8</v>
      </c>
      <c r="D286" s="8">
        <v>88.12228</v>
      </c>
      <c r="E286" s="8">
        <v>11.07909</v>
      </c>
      <c r="F286" s="10">
        <v>77.04319000000001</v>
      </c>
    </row>
    <row r="287">
      <c r="A287" s="5" t="s">
        <v>578</v>
      </c>
      <c r="B287" s="6" t="s">
        <v>579</v>
      </c>
      <c r="C287" s="7" t="s">
        <v>8</v>
      </c>
      <c r="D287" s="8">
        <v>77.90787</v>
      </c>
      <c r="E287" s="8">
        <v>21.3445</v>
      </c>
      <c r="F287" s="10">
        <v>56.563370000000006</v>
      </c>
    </row>
    <row r="288">
      <c r="A288" s="5" t="s">
        <v>580</v>
      </c>
      <c r="B288" s="6" t="s">
        <v>581</v>
      </c>
      <c r="C288" s="7" t="s">
        <v>8</v>
      </c>
      <c r="D288" s="8">
        <v>84.67026</v>
      </c>
      <c r="E288" s="8">
        <v>14.70358</v>
      </c>
      <c r="F288" s="10">
        <v>69.96668</v>
      </c>
    </row>
    <row r="289">
      <c r="A289" s="5" t="s">
        <v>582</v>
      </c>
      <c r="B289" s="6" t="s">
        <v>583</v>
      </c>
      <c r="C289" s="7" t="s">
        <v>8</v>
      </c>
      <c r="D289" s="8">
        <v>71.37383</v>
      </c>
      <c r="E289" s="8">
        <v>27.66927</v>
      </c>
      <c r="F289" s="10">
        <v>43.70456</v>
      </c>
    </row>
    <row r="290">
      <c r="A290" s="5" t="s">
        <v>584</v>
      </c>
      <c r="B290" s="6" t="s">
        <v>585</v>
      </c>
      <c r="C290" s="7" t="s">
        <v>11</v>
      </c>
      <c r="D290" s="8">
        <v>54.46752</v>
      </c>
      <c r="E290" s="8">
        <v>44.40804</v>
      </c>
      <c r="F290" s="10">
        <v>10.05948</v>
      </c>
    </row>
    <row r="291">
      <c r="A291" s="5" t="s">
        <v>586</v>
      </c>
      <c r="B291" s="6" t="s">
        <v>587</v>
      </c>
      <c r="C291" s="7" t="s">
        <v>8</v>
      </c>
      <c r="D291" s="8">
        <v>53.40511</v>
      </c>
      <c r="E291" s="8">
        <v>45.04391</v>
      </c>
      <c r="F291" s="10">
        <v>8.361200000000004</v>
      </c>
    </row>
    <row r="292">
      <c r="A292" s="5" t="s">
        <v>588</v>
      </c>
      <c r="B292" s="6" t="s">
        <v>589</v>
      </c>
      <c r="C292" s="7" t="s">
        <v>11</v>
      </c>
      <c r="D292" s="8">
        <v>51.3042</v>
      </c>
      <c r="E292" s="8">
        <v>46.67659</v>
      </c>
      <c r="F292" s="10">
        <v>4.627610000000004</v>
      </c>
    </row>
    <row r="293">
      <c r="A293" s="5" t="s">
        <v>590</v>
      </c>
      <c r="B293" s="6" t="s">
        <v>591</v>
      </c>
      <c r="C293" s="7" t="s">
        <v>8</v>
      </c>
      <c r="D293" s="8">
        <v>58.56019</v>
      </c>
      <c r="E293" s="8">
        <v>39.39297</v>
      </c>
      <c r="F293" s="10">
        <v>19.16722</v>
      </c>
    </row>
    <row r="294">
      <c r="A294" s="5" t="s">
        <v>592</v>
      </c>
      <c r="B294" s="6" t="s">
        <v>593</v>
      </c>
      <c r="C294" s="7" t="s">
        <v>11</v>
      </c>
      <c r="D294" s="8">
        <v>42.82987</v>
      </c>
      <c r="E294" s="8">
        <v>55.20712</v>
      </c>
      <c r="F294" s="9">
        <v>-12.377250000000004</v>
      </c>
    </row>
    <row r="295">
      <c r="A295" s="5" t="s">
        <v>594</v>
      </c>
      <c r="B295" s="6" t="s">
        <v>595</v>
      </c>
      <c r="C295" s="7" t="s">
        <v>11</v>
      </c>
      <c r="D295" s="8">
        <v>52.64685</v>
      </c>
      <c r="E295" s="8">
        <v>45.19236</v>
      </c>
      <c r="F295" s="10">
        <v>7.45449</v>
      </c>
    </row>
    <row r="296">
      <c r="A296" s="5" t="s">
        <v>596</v>
      </c>
      <c r="B296" s="6" t="s">
        <v>597</v>
      </c>
      <c r="C296" s="7" t="s">
        <v>11</v>
      </c>
      <c r="D296" s="8">
        <v>40.41663</v>
      </c>
      <c r="E296" s="8">
        <v>57.62889</v>
      </c>
      <c r="F296" s="9">
        <v>-17.21226</v>
      </c>
    </row>
    <row r="297">
      <c r="A297" s="5" t="s">
        <v>598</v>
      </c>
      <c r="B297" s="6" t="s">
        <v>599</v>
      </c>
      <c r="C297" s="7" t="s">
        <v>11</v>
      </c>
      <c r="D297" s="8">
        <v>40.25743</v>
      </c>
      <c r="E297" s="8">
        <v>57.45938</v>
      </c>
      <c r="F297" s="9">
        <v>-17.201950000000004</v>
      </c>
    </row>
    <row r="298">
      <c r="A298" s="5" t="s">
        <v>600</v>
      </c>
      <c r="B298" s="6" t="s">
        <v>601</v>
      </c>
      <c r="C298" s="7" t="s">
        <v>8</v>
      </c>
      <c r="D298" s="8">
        <v>58.77057</v>
      </c>
      <c r="E298" s="8">
        <v>39.07389</v>
      </c>
      <c r="F298" s="10">
        <v>19.69668</v>
      </c>
    </row>
    <row r="299">
      <c r="A299" s="5" t="s">
        <v>602</v>
      </c>
      <c r="B299" s="6" t="s">
        <v>603</v>
      </c>
      <c r="C299" s="7" t="s">
        <v>8</v>
      </c>
      <c r="D299" s="8">
        <v>60.81359</v>
      </c>
      <c r="E299" s="8">
        <v>37.41813</v>
      </c>
      <c r="F299" s="10">
        <v>23.39546</v>
      </c>
    </row>
    <row r="300">
      <c r="A300" s="5" t="s">
        <v>604</v>
      </c>
      <c r="B300" s="6" t="s">
        <v>605</v>
      </c>
      <c r="C300" s="7" t="s">
        <v>8</v>
      </c>
      <c r="D300" s="8">
        <v>53.46392</v>
      </c>
      <c r="E300" s="8">
        <v>45.00562</v>
      </c>
      <c r="F300" s="10">
        <v>8.458300000000001</v>
      </c>
    </row>
    <row r="301">
      <c r="A301" s="5" t="s">
        <v>606</v>
      </c>
      <c r="B301" s="6" t="s">
        <v>607</v>
      </c>
      <c r="C301" s="7" t="s">
        <v>11</v>
      </c>
      <c r="D301" s="8">
        <v>26.65002</v>
      </c>
      <c r="E301" s="8">
        <v>72.00795</v>
      </c>
      <c r="F301" s="9">
        <v>-45.357929999999996</v>
      </c>
    </row>
    <row r="302">
      <c r="A302" s="5" t="s">
        <v>608</v>
      </c>
      <c r="B302" s="6" t="s">
        <v>609</v>
      </c>
      <c r="C302" s="7" t="s">
        <v>8</v>
      </c>
      <c r="D302" s="8">
        <v>71.13624</v>
      </c>
      <c r="E302" s="8">
        <v>27.37171</v>
      </c>
      <c r="F302" s="10">
        <v>43.76453</v>
      </c>
    </row>
    <row r="303">
      <c r="A303" s="5" t="s">
        <v>610</v>
      </c>
      <c r="B303" s="6" t="s">
        <v>611</v>
      </c>
      <c r="C303" s="7" t="s">
        <v>11</v>
      </c>
      <c r="D303" s="8">
        <v>31.37614</v>
      </c>
      <c r="E303" s="8">
        <v>67.05021</v>
      </c>
      <c r="F303" s="9">
        <v>-35.67407000000001</v>
      </c>
    </row>
    <row r="304">
      <c r="A304" s="5" t="s">
        <v>612</v>
      </c>
      <c r="B304" s="6" t="s">
        <v>613</v>
      </c>
      <c r="C304" s="7" t="s">
        <v>11</v>
      </c>
      <c r="D304" s="8">
        <v>35.82513</v>
      </c>
      <c r="E304" s="8">
        <v>62.62052</v>
      </c>
      <c r="F304" s="9">
        <v>-26.795389999999998</v>
      </c>
    </row>
    <row r="305">
      <c r="A305" s="5" t="s">
        <v>614</v>
      </c>
      <c r="B305" s="6" t="s">
        <v>615</v>
      </c>
      <c r="C305" s="7" t="s">
        <v>11</v>
      </c>
      <c r="D305" s="8">
        <v>34.95696</v>
      </c>
      <c r="E305" s="8">
        <v>63.67929</v>
      </c>
      <c r="F305" s="9">
        <v>-28.72233</v>
      </c>
    </row>
    <row r="306">
      <c r="A306" s="5" t="s">
        <v>616</v>
      </c>
      <c r="B306" s="6" t="s">
        <v>617</v>
      </c>
      <c r="C306" s="7" t="s">
        <v>11</v>
      </c>
      <c r="D306" s="8">
        <v>44.7898</v>
      </c>
      <c r="E306" s="8">
        <v>54.01268</v>
      </c>
      <c r="F306" s="9">
        <v>-9.222880000000004</v>
      </c>
    </row>
    <row r="307">
      <c r="A307" s="5" t="s">
        <v>618</v>
      </c>
      <c r="B307" s="6" t="s">
        <v>619</v>
      </c>
      <c r="C307" s="7" t="s">
        <v>11</v>
      </c>
      <c r="D307" s="8">
        <v>38.26064</v>
      </c>
      <c r="E307" s="8">
        <v>60.28502</v>
      </c>
      <c r="F307" s="9">
        <v>-22.02438</v>
      </c>
    </row>
    <row r="308">
      <c r="A308" s="5" t="s">
        <v>620</v>
      </c>
      <c r="B308" s="6" t="s">
        <v>621</v>
      </c>
      <c r="C308" s="7" t="s">
        <v>8</v>
      </c>
      <c r="D308" s="8">
        <v>47.68814</v>
      </c>
      <c r="E308" s="8">
        <v>50.606</v>
      </c>
      <c r="F308" s="9">
        <v>-2.9178600000000046</v>
      </c>
    </row>
    <row r="309">
      <c r="A309" s="5" t="s">
        <v>622</v>
      </c>
      <c r="B309" s="6" t="s">
        <v>623</v>
      </c>
      <c r="C309" s="7" t="s">
        <v>11</v>
      </c>
      <c r="D309" s="8">
        <v>47.39302</v>
      </c>
      <c r="E309" s="8">
        <v>50.91322</v>
      </c>
      <c r="F309" s="9">
        <v>-3.5202000000000027</v>
      </c>
    </row>
    <row r="310">
      <c r="A310" s="5" t="s">
        <v>624</v>
      </c>
      <c r="B310" s="6" t="s">
        <v>625</v>
      </c>
      <c r="C310" s="7" t="s">
        <v>8</v>
      </c>
      <c r="D310" s="8">
        <v>78.27541</v>
      </c>
      <c r="E310" s="8">
        <v>20.67616</v>
      </c>
      <c r="F310" s="10">
        <v>57.59925</v>
      </c>
    </row>
    <row r="311">
      <c r="A311" s="5" t="s">
        <v>626</v>
      </c>
      <c r="B311" s="6" t="s">
        <v>627</v>
      </c>
      <c r="C311" s="7" t="s">
        <v>11</v>
      </c>
      <c r="D311" s="8">
        <v>33.80488</v>
      </c>
      <c r="E311" s="8">
        <v>64.67142</v>
      </c>
      <c r="F311" s="9">
        <v>-30.86654</v>
      </c>
    </row>
    <row r="312">
      <c r="A312" s="5" t="s">
        <v>628</v>
      </c>
      <c r="B312" s="6" t="s">
        <v>629</v>
      </c>
      <c r="C312" s="7" t="s">
        <v>8</v>
      </c>
      <c r="D312" s="8">
        <v>50.70354</v>
      </c>
      <c r="E312" s="8">
        <v>47.8833</v>
      </c>
      <c r="F312" s="10">
        <v>2.8202399999999983</v>
      </c>
    </row>
    <row r="313">
      <c r="A313" s="5" t="s">
        <v>630</v>
      </c>
      <c r="B313" s="6" t="s">
        <v>631</v>
      </c>
      <c r="C313" s="7" t="s">
        <v>11</v>
      </c>
      <c r="D313" s="8">
        <v>41.85561</v>
      </c>
      <c r="E313" s="8">
        <v>56.79981</v>
      </c>
      <c r="F313" s="9">
        <v>-14.944200000000002</v>
      </c>
    </row>
    <row r="314">
      <c r="A314" s="5" t="s">
        <v>632</v>
      </c>
      <c r="B314" s="6" t="s">
        <v>633</v>
      </c>
      <c r="C314" s="7" t="s">
        <v>11</v>
      </c>
      <c r="D314" s="8">
        <v>45.79683</v>
      </c>
      <c r="E314" s="8">
        <v>52.55496</v>
      </c>
      <c r="F314" s="9">
        <v>-6.758130000000001</v>
      </c>
    </row>
    <row r="315">
      <c r="A315" s="5" t="s">
        <v>634</v>
      </c>
      <c r="B315" s="6" t="s">
        <v>635</v>
      </c>
      <c r="C315" s="7" t="s">
        <v>11</v>
      </c>
      <c r="D315" s="8">
        <v>38.04097</v>
      </c>
      <c r="E315" s="8">
        <v>59.39467</v>
      </c>
      <c r="F315" s="9">
        <v>-21.353699999999996</v>
      </c>
    </row>
    <row r="316">
      <c r="A316" s="5" t="s">
        <v>636</v>
      </c>
      <c r="B316" s="6" t="s">
        <v>637</v>
      </c>
      <c r="C316" s="7" t="s">
        <v>11</v>
      </c>
      <c r="D316" s="8">
        <v>22.39392</v>
      </c>
      <c r="E316" s="8">
        <v>75.77044</v>
      </c>
      <c r="F316" s="9">
        <v>-53.37651999999999</v>
      </c>
    </row>
    <row r="317">
      <c r="A317" s="5" t="s">
        <v>638</v>
      </c>
      <c r="B317" s="6" t="s">
        <v>639</v>
      </c>
      <c r="C317" s="7" t="s">
        <v>11</v>
      </c>
      <c r="D317" s="8">
        <v>26.54149</v>
      </c>
      <c r="E317" s="8">
        <v>71.17328</v>
      </c>
      <c r="F317" s="9">
        <v>-44.63179000000001</v>
      </c>
    </row>
    <row r="318">
      <c r="A318" s="5" t="s">
        <v>640</v>
      </c>
      <c r="B318" s="6" t="s">
        <v>641</v>
      </c>
      <c r="C318" s="7" t="s">
        <v>11</v>
      </c>
      <c r="D318" s="8">
        <v>32.97937</v>
      </c>
      <c r="E318" s="8">
        <v>64.60278</v>
      </c>
      <c r="F318" s="9">
        <v>-31.623409999999993</v>
      </c>
    </row>
    <row r="319">
      <c r="A319" s="5" t="s">
        <v>642</v>
      </c>
      <c r="B319" s="6" t="s">
        <v>643</v>
      </c>
      <c r="C319" s="7" t="s">
        <v>11</v>
      </c>
      <c r="D319" s="8">
        <v>40.26947</v>
      </c>
      <c r="E319" s="8">
        <v>57.1471</v>
      </c>
      <c r="F319" s="9">
        <v>-16.877630000000003</v>
      </c>
    </row>
    <row r="320">
      <c r="A320" s="5" t="s">
        <v>644</v>
      </c>
      <c r="B320" s="6" t="s">
        <v>645</v>
      </c>
      <c r="C320" s="7" t="s">
        <v>8</v>
      </c>
      <c r="D320" s="8">
        <v>68.39</v>
      </c>
      <c r="E320" s="8">
        <v>29.07</v>
      </c>
      <c r="F320" s="10">
        <v>39.32</v>
      </c>
    </row>
    <row r="321">
      <c r="A321" s="5" t="s">
        <v>646</v>
      </c>
      <c r="B321" s="6" t="s">
        <v>647</v>
      </c>
      <c r="C321" s="7" t="s">
        <v>11</v>
      </c>
      <c r="D321" s="8">
        <v>36.61</v>
      </c>
      <c r="E321" s="8">
        <v>61.05</v>
      </c>
      <c r="F321" s="9">
        <v>-24.439999999999998</v>
      </c>
    </row>
    <row r="322">
      <c r="A322" s="5" t="s">
        <v>648</v>
      </c>
      <c r="B322" s="6" t="s">
        <v>649</v>
      </c>
      <c r="C322" s="7" t="s">
        <v>8</v>
      </c>
      <c r="D322" s="8">
        <v>72.54</v>
      </c>
      <c r="E322" s="8">
        <v>25.23</v>
      </c>
      <c r="F322" s="10">
        <v>47.31</v>
      </c>
    </row>
    <row r="323">
      <c r="A323" s="5" t="s">
        <v>650</v>
      </c>
      <c r="B323" s="6" t="s">
        <v>651</v>
      </c>
      <c r="C323" s="7" t="s">
        <v>8</v>
      </c>
      <c r="D323" s="8">
        <v>55.06</v>
      </c>
      <c r="E323" s="8">
        <v>42.33</v>
      </c>
      <c r="F323" s="10">
        <v>12.730000000000004</v>
      </c>
    </row>
    <row r="324">
      <c r="A324" s="5" t="s">
        <v>652</v>
      </c>
      <c r="B324" s="6" t="s">
        <v>653</v>
      </c>
      <c r="C324" s="7" t="s">
        <v>11</v>
      </c>
      <c r="D324" s="8">
        <v>53.22</v>
      </c>
      <c r="E324" s="8">
        <v>44.35</v>
      </c>
      <c r="F324" s="10">
        <v>8.869999999999997</v>
      </c>
    </row>
    <row r="325">
      <c r="A325" s="5" t="s">
        <v>654</v>
      </c>
      <c r="B325" s="6" t="s">
        <v>655</v>
      </c>
      <c r="C325" s="7" t="s">
        <v>8</v>
      </c>
      <c r="D325" s="8">
        <v>55.23</v>
      </c>
      <c r="E325" s="8">
        <v>42.05</v>
      </c>
      <c r="F325" s="10">
        <v>13.18</v>
      </c>
    </row>
    <row r="326">
      <c r="A326" s="5" t="s">
        <v>656</v>
      </c>
      <c r="B326" s="6" t="s">
        <v>657</v>
      </c>
      <c r="C326" s="7" t="s">
        <v>11</v>
      </c>
      <c r="D326" s="8">
        <v>51.7936</v>
      </c>
      <c r="E326" s="8">
        <v>47.15392</v>
      </c>
      <c r="F326" s="10">
        <v>4.6396799999999985</v>
      </c>
    </row>
    <row r="327">
      <c r="A327" s="5" t="s">
        <v>658</v>
      </c>
      <c r="B327" s="6" t="s">
        <v>659</v>
      </c>
      <c r="C327" s="7" t="s">
        <v>8</v>
      </c>
      <c r="D327" s="8">
        <v>70.99444</v>
      </c>
      <c r="E327" s="8">
        <v>28.25</v>
      </c>
      <c r="F327" s="10">
        <v>42.74444</v>
      </c>
    </row>
    <row r="328">
      <c r="A328" s="5" t="s">
        <v>660</v>
      </c>
      <c r="B328" s="6" t="s">
        <v>661</v>
      </c>
      <c r="C328" s="7" t="s">
        <v>8</v>
      </c>
      <c r="D328" s="8">
        <v>90.15</v>
      </c>
      <c r="E328" s="8">
        <v>9.25767</v>
      </c>
      <c r="F328" s="10">
        <v>80.89233</v>
      </c>
    </row>
    <row r="329">
      <c r="A329" s="5" t="s">
        <v>662</v>
      </c>
      <c r="B329" s="6" t="s">
        <v>663</v>
      </c>
      <c r="C329" s="7" t="s">
        <v>8</v>
      </c>
      <c r="D329" s="8">
        <v>58.91533</v>
      </c>
      <c r="E329" s="8">
        <v>39.98759</v>
      </c>
      <c r="F329" s="10">
        <v>18.92774</v>
      </c>
    </row>
    <row r="330">
      <c r="A330" s="5" t="s">
        <v>664</v>
      </c>
      <c r="B330" s="6" t="s">
        <v>665</v>
      </c>
      <c r="C330" s="7" t="s">
        <v>8</v>
      </c>
      <c r="D330" s="8">
        <v>65.70971</v>
      </c>
      <c r="E330" s="8">
        <v>33.42676</v>
      </c>
      <c r="F330" s="10">
        <v>32.28295</v>
      </c>
    </row>
    <row r="331">
      <c r="A331" s="5" t="s">
        <v>666</v>
      </c>
      <c r="B331" s="6" t="s">
        <v>667</v>
      </c>
      <c r="C331" s="7" t="s">
        <v>8</v>
      </c>
      <c r="D331" s="8">
        <v>56.75524</v>
      </c>
      <c r="E331" s="8">
        <v>42.04177</v>
      </c>
      <c r="F331" s="10">
        <v>14.713470000000001</v>
      </c>
    </row>
    <row r="332">
      <c r="A332" s="5" t="s">
        <v>668</v>
      </c>
      <c r="B332" s="6" t="s">
        <v>669</v>
      </c>
      <c r="C332" s="7" t="s">
        <v>8</v>
      </c>
      <c r="D332" s="8">
        <v>49.71389</v>
      </c>
      <c r="E332" s="8">
        <v>49.09425</v>
      </c>
      <c r="F332" s="10">
        <v>0.6196399999999969</v>
      </c>
    </row>
    <row r="333">
      <c r="A333" s="5" t="s">
        <v>670</v>
      </c>
      <c r="B333" s="6" t="s">
        <v>671</v>
      </c>
      <c r="C333" s="7" t="s">
        <v>8</v>
      </c>
      <c r="D333" s="8">
        <v>48.03876</v>
      </c>
      <c r="E333" s="8">
        <v>50.94381</v>
      </c>
      <c r="F333" s="9">
        <v>-2.9050499999999957</v>
      </c>
    </row>
    <row r="334">
      <c r="A334" s="5" t="s">
        <v>672</v>
      </c>
      <c r="B334" s="6" t="s">
        <v>673</v>
      </c>
      <c r="C334" s="7" t="s">
        <v>11</v>
      </c>
      <c r="D334" s="8">
        <v>31.01016</v>
      </c>
      <c r="E334" s="8">
        <v>67.53692</v>
      </c>
      <c r="F334" s="9">
        <v>-36.526759999999996</v>
      </c>
    </row>
    <row r="335">
      <c r="A335" s="5" t="s">
        <v>674</v>
      </c>
      <c r="B335" s="6" t="s">
        <v>675</v>
      </c>
      <c r="C335" s="7" t="s">
        <v>11</v>
      </c>
      <c r="D335" s="8">
        <v>47.20896</v>
      </c>
      <c r="E335" s="8">
        <v>51.34241</v>
      </c>
      <c r="F335" s="9">
        <v>-4.133450000000003</v>
      </c>
    </row>
    <row r="336">
      <c r="A336" s="5" t="s">
        <v>676</v>
      </c>
      <c r="B336" s="6" t="s">
        <v>677</v>
      </c>
      <c r="C336" s="7" t="s">
        <v>11</v>
      </c>
      <c r="D336" s="8">
        <v>38.61761</v>
      </c>
      <c r="E336" s="8">
        <v>59.87384</v>
      </c>
      <c r="F336" s="9">
        <v>-21.256230000000002</v>
      </c>
    </row>
    <row r="337">
      <c r="A337" s="5" t="s">
        <v>678</v>
      </c>
      <c r="B337" s="6" t="s">
        <v>679</v>
      </c>
      <c r="C337" s="7" t="s">
        <v>8</v>
      </c>
      <c r="D337" s="8">
        <v>59.41912</v>
      </c>
      <c r="E337" s="8">
        <v>39.4738</v>
      </c>
      <c r="F337" s="10">
        <v>19.945320000000002</v>
      </c>
    </row>
    <row r="338">
      <c r="A338" s="5" t="s">
        <v>680</v>
      </c>
      <c r="B338" s="6" t="s">
        <v>681</v>
      </c>
      <c r="C338" s="7" t="s">
        <v>11</v>
      </c>
      <c r="D338" s="8">
        <v>26.79057</v>
      </c>
      <c r="E338" s="8">
        <v>72.00652</v>
      </c>
      <c r="F338" s="9">
        <v>-45.21594999999999</v>
      </c>
    </row>
    <row r="339">
      <c r="A339" s="5" t="s">
        <v>682</v>
      </c>
      <c r="B339" s="6" t="s">
        <v>683</v>
      </c>
      <c r="C339" s="7" t="s">
        <v>11</v>
      </c>
      <c r="D339" s="8">
        <v>33.70864</v>
      </c>
      <c r="E339" s="8">
        <v>65.21124</v>
      </c>
      <c r="F339" s="9">
        <v>-31.5026</v>
      </c>
    </row>
    <row r="340">
      <c r="A340" s="5" t="s">
        <v>684</v>
      </c>
      <c r="B340" s="6" t="s">
        <v>685</v>
      </c>
      <c r="C340" s="7" t="s">
        <v>11</v>
      </c>
      <c r="D340" s="8">
        <v>30.80777</v>
      </c>
      <c r="E340" s="8">
        <v>67.82657</v>
      </c>
      <c r="F340" s="9">
        <v>-37.0188</v>
      </c>
    </row>
    <row r="341">
      <c r="A341" s="5" t="s">
        <v>686</v>
      </c>
      <c r="B341" s="6" t="s">
        <v>687</v>
      </c>
      <c r="C341" s="7" t="s">
        <v>11</v>
      </c>
      <c r="D341" s="8">
        <v>39.02917</v>
      </c>
      <c r="E341" s="8">
        <v>59.66735</v>
      </c>
      <c r="F341" s="9">
        <v>-20.63818</v>
      </c>
    </row>
    <row r="342">
      <c r="A342" s="5" t="s">
        <v>688</v>
      </c>
      <c r="B342" s="6" t="s">
        <v>689</v>
      </c>
      <c r="C342" s="7" t="s">
        <v>8</v>
      </c>
      <c r="D342" s="8">
        <v>52.30307</v>
      </c>
      <c r="E342" s="8">
        <v>46.47176</v>
      </c>
      <c r="F342" s="10">
        <v>5.831309999999995</v>
      </c>
    </row>
    <row r="343">
      <c r="A343" s="5" t="s">
        <v>690</v>
      </c>
      <c r="B343" s="6" t="s">
        <v>691</v>
      </c>
      <c r="C343" s="7" t="s">
        <v>8</v>
      </c>
      <c r="D343" s="8">
        <v>63.81569</v>
      </c>
      <c r="E343" s="8">
        <v>34.72264</v>
      </c>
      <c r="F343" s="10">
        <v>29.093049999999998</v>
      </c>
    </row>
    <row r="344">
      <c r="A344" s="5" t="s">
        <v>692</v>
      </c>
      <c r="B344" s="6" t="s">
        <v>693</v>
      </c>
      <c r="C344" s="7" t="s">
        <v>8</v>
      </c>
      <c r="D344" s="8">
        <v>56.12862</v>
      </c>
      <c r="E344" s="8">
        <v>42.38704</v>
      </c>
      <c r="F344" s="10">
        <v>13.741579999999999</v>
      </c>
    </row>
    <row r="345">
      <c r="A345" s="5" t="s">
        <v>694</v>
      </c>
      <c r="B345" s="6" t="s">
        <v>695</v>
      </c>
      <c r="C345" s="7" t="s">
        <v>11</v>
      </c>
      <c r="D345" s="8">
        <v>44.85064</v>
      </c>
      <c r="E345" s="8">
        <v>53.48434</v>
      </c>
      <c r="F345" s="9">
        <v>-8.633700000000005</v>
      </c>
    </row>
    <row r="346">
      <c r="A346" s="5" t="s">
        <v>696</v>
      </c>
      <c r="B346" s="6" t="s">
        <v>697</v>
      </c>
      <c r="C346" s="7" t="s">
        <v>11</v>
      </c>
      <c r="D346" s="8">
        <v>43.93058</v>
      </c>
      <c r="E346" s="8">
        <v>54.51148</v>
      </c>
      <c r="F346" s="9">
        <v>-10.5809</v>
      </c>
    </row>
    <row r="347">
      <c r="A347" s="5" t="s">
        <v>698</v>
      </c>
      <c r="B347" s="6" t="s">
        <v>699</v>
      </c>
      <c r="C347" s="7" t="s">
        <v>11</v>
      </c>
      <c r="D347" s="8">
        <v>30.56188</v>
      </c>
      <c r="E347" s="8">
        <v>68.03026</v>
      </c>
      <c r="F347" s="9">
        <v>-37.468379999999996</v>
      </c>
    </row>
    <row r="348">
      <c r="A348" s="5" t="s">
        <v>700</v>
      </c>
      <c r="B348" s="6" t="s">
        <v>701</v>
      </c>
      <c r="C348" s="7" t="s">
        <v>11</v>
      </c>
      <c r="D348" s="8">
        <v>39.80924</v>
      </c>
      <c r="E348" s="8">
        <v>58.35654</v>
      </c>
      <c r="F348" s="9">
        <v>-18.5473</v>
      </c>
    </row>
    <row r="349">
      <c r="A349" s="5" t="s">
        <v>702</v>
      </c>
      <c r="B349" s="6" t="s">
        <v>703</v>
      </c>
      <c r="C349" s="7" t="s">
        <v>11</v>
      </c>
      <c r="D349" s="8">
        <v>40.24437</v>
      </c>
      <c r="E349" s="8">
        <v>58.41667</v>
      </c>
      <c r="F349" s="9">
        <v>-18.1723</v>
      </c>
    </row>
    <row r="350">
      <c r="A350" s="5" t="s">
        <v>704</v>
      </c>
      <c r="B350" s="6" t="s">
        <v>705</v>
      </c>
      <c r="C350" s="7" t="s">
        <v>8</v>
      </c>
      <c r="D350" s="8">
        <v>65.33881</v>
      </c>
      <c r="E350" s="8">
        <v>33.22971</v>
      </c>
      <c r="F350" s="10">
        <v>32.1091</v>
      </c>
    </row>
    <row r="351">
      <c r="A351" s="5" t="s">
        <v>706</v>
      </c>
      <c r="B351" s="6" t="s">
        <v>707</v>
      </c>
      <c r="C351" s="7" t="s">
        <v>11</v>
      </c>
      <c r="D351" s="8">
        <v>40.17587</v>
      </c>
      <c r="E351" s="8">
        <v>58.8368</v>
      </c>
      <c r="F351" s="9">
        <v>-18.660929999999993</v>
      </c>
    </row>
    <row r="352">
      <c r="A352" s="5" t="s">
        <v>708</v>
      </c>
      <c r="B352" s="6" t="s">
        <v>709</v>
      </c>
      <c r="C352" s="7" t="s">
        <v>11</v>
      </c>
      <c r="D352" s="8">
        <v>35.60525</v>
      </c>
      <c r="E352" s="8">
        <v>61.76939</v>
      </c>
      <c r="F352" s="9">
        <v>-26.164140000000003</v>
      </c>
    </row>
    <row r="353">
      <c r="A353" s="5" t="s">
        <v>710</v>
      </c>
      <c r="B353" s="6" t="s">
        <v>711</v>
      </c>
      <c r="C353" s="7" t="s">
        <v>11</v>
      </c>
      <c r="D353" s="8">
        <v>22.04302</v>
      </c>
      <c r="E353" s="8">
        <v>76.27881</v>
      </c>
      <c r="F353" s="9">
        <v>-54.235789999999994</v>
      </c>
    </row>
    <row r="354">
      <c r="A354" s="5" t="s">
        <v>712</v>
      </c>
      <c r="B354" s="6" t="s">
        <v>713</v>
      </c>
      <c r="C354" s="7" t="s">
        <v>11</v>
      </c>
      <c r="D354" s="8">
        <v>34.4395</v>
      </c>
      <c r="E354" s="8">
        <v>63.66005</v>
      </c>
      <c r="F354" s="9">
        <v>-29.220549999999996</v>
      </c>
    </row>
    <row r="355">
      <c r="A355" s="5" t="s">
        <v>714</v>
      </c>
      <c r="B355" s="6" t="s">
        <v>715</v>
      </c>
      <c r="C355" s="7" t="s">
        <v>11</v>
      </c>
      <c r="D355" s="8">
        <v>33.13717</v>
      </c>
      <c r="E355" s="8">
        <v>65.04675</v>
      </c>
      <c r="F355" s="9">
        <v>-31.909580000000005</v>
      </c>
    </row>
    <row r="356">
      <c r="A356" s="5" t="s">
        <v>716</v>
      </c>
      <c r="B356" s="6" t="s">
        <v>717</v>
      </c>
      <c r="C356" s="7" t="s">
        <v>11</v>
      </c>
      <c r="D356" s="8">
        <v>30.2086</v>
      </c>
      <c r="E356" s="8">
        <v>67.94529</v>
      </c>
      <c r="F356" s="9">
        <v>-37.736689999999996</v>
      </c>
    </row>
    <row r="357">
      <c r="A357" s="5" t="s">
        <v>718</v>
      </c>
      <c r="B357" s="6" t="s">
        <v>719</v>
      </c>
      <c r="C357" s="7" t="s">
        <v>11</v>
      </c>
      <c r="D357" s="8">
        <v>43.21823</v>
      </c>
      <c r="E357" s="8">
        <v>54.5098</v>
      </c>
      <c r="F357" s="9">
        <v>-11.29157</v>
      </c>
    </row>
    <row r="358">
      <c r="A358" s="5" t="s">
        <v>720</v>
      </c>
      <c r="B358" s="6" t="s">
        <v>721</v>
      </c>
      <c r="C358" s="7" t="s">
        <v>11</v>
      </c>
      <c r="D358" s="8">
        <v>34.49819</v>
      </c>
      <c r="E358" s="8">
        <v>63.63381</v>
      </c>
      <c r="F358" s="9">
        <v>-29.135619999999996</v>
      </c>
    </row>
    <row r="359">
      <c r="A359" s="5" t="s">
        <v>722</v>
      </c>
      <c r="B359" s="6" t="s">
        <v>723</v>
      </c>
      <c r="C359" s="7" t="s">
        <v>11</v>
      </c>
      <c r="D359" s="8">
        <v>41.28719</v>
      </c>
      <c r="E359" s="8">
        <v>56.41842</v>
      </c>
      <c r="F359" s="9">
        <v>-15.131229999999995</v>
      </c>
    </row>
    <row r="360">
      <c r="A360" s="5" t="s">
        <v>724</v>
      </c>
      <c r="B360" s="6" t="s">
        <v>725</v>
      </c>
      <c r="C360" s="7" t="s">
        <v>11</v>
      </c>
      <c r="D360" s="8">
        <v>30.62912</v>
      </c>
      <c r="E360" s="8">
        <v>67.93275</v>
      </c>
      <c r="F360" s="9">
        <v>-37.30363</v>
      </c>
    </row>
    <row r="361">
      <c r="A361" s="5" t="s">
        <v>726</v>
      </c>
      <c r="B361" s="6" t="s">
        <v>727</v>
      </c>
      <c r="C361" s="7" t="s">
        <v>8</v>
      </c>
      <c r="D361" s="8">
        <v>73.2751</v>
      </c>
      <c r="E361" s="8">
        <v>25.12914</v>
      </c>
      <c r="F361" s="10">
        <v>48.145959999999995</v>
      </c>
    </row>
    <row r="362">
      <c r="A362" s="5" t="s">
        <v>728</v>
      </c>
      <c r="B362" s="6" t="s">
        <v>729</v>
      </c>
      <c r="C362" s="7" t="s">
        <v>11</v>
      </c>
      <c r="D362" s="8">
        <v>26.49008</v>
      </c>
      <c r="E362" s="8">
        <v>72.3879</v>
      </c>
      <c r="F362" s="9">
        <v>-45.89782</v>
      </c>
    </row>
    <row r="363">
      <c r="A363" s="5" t="s">
        <v>730</v>
      </c>
      <c r="B363" s="6" t="s">
        <v>731</v>
      </c>
      <c r="C363" s="7" t="s">
        <v>11</v>
      </c>
      <c r="D363" s="8">
        <v>37.91628</v>
      </c>
      <c r="E363" s="8">
        <v>60.68957</v>
      </c>
      <c r="F363" s="9">
        <v>-22.773290000000003</v>
      </c>
    </row>
    <row r="364">
      <c r="A364" s="5" t="s">
        <v>732</v>
      </c>
      <c r="B364" s="6" t="s">
        <v>733</v>
      </c>
      <c r="C364" s="7" t="s">
        <v>11</v>
      </c>
      <c r="D364" s="8">
        <v>42.02848</v>
      </c>
      <c r="E364" s="8">
        <v>56.44604</v>
      </c>
      <c r="F364" s="9">
        <v>-14.417560000000002</v>
      </c>
    </row>
    <row r="365">
      <c r="A365" s="5" t="s">
        <v>734</v>
      </c>
      <c r="B365" s="6" t="s">
        <v>735</v>
      </c>
      <c r="C365" s="7" t="s">
        <v>11</v>
      </c>
      <c r="D365" s="8">
        <v>36.39324</v>
      </c>
      <c r="E365" s="8">
        <v>62.35351</v>
      </c>
      <c r="F365" s="9">
        <v>-25.96027</v>
      </c>
    </row>
    <row r="366">
      <c r="A366" s="5" t="s">
        <v>736</v>
      </c>
      <c r="B366" s="6" t="s">
        <v>737</v>
      </c>
      <c r="C366" s="7" t="s">
        <v>11</v>
      </c>
      <c r="D366" s="8">
        <v>38.17225</v>
      </c>
      <c r="E366" s="8">
        <v>60.60424</v>
      </c>
      <c r="F366" s="9">
        <v>-22.43199</v>
      </c>
    </row>
    <row r="367">
      <c r="A367" s="5" t="s">
        <v>738</v>
      </c>
      <c r="B367" s="6" t="s">
        <v>739</v>
      </c>
      <c r="C367" s="7" t="s">
        <v>11</v>
      </c>
      <c r="D367" s="8">
        <v>37.39017</v>
      </c>
      <c r="E367" s="8">
        <v>61.3481</v>
      </c>
      <c r="F367" s="9">
        <v>-23.957930000000005</v>
      </c>
    </row>
    <row r="368">
      <c r="A368" s="5" t="s">
        <v>740</v>
      </c>
      <c r="B368" s="6" t="s">
        <v>741</v>
      </c>
      <c r="C368" s="7" t="s">
        <v>8</v>
      </c>
      <c r="D368" s="8">
        <v>64.21481</v>
      </c>
      <c r="E368" s="8">
        <v>34.46833</v>
      </c>
      <c r="F368" s="10">
        <v>29.74648</v>
      </c>
    </row>
    <row r="369">
      <c r="A369" s="5" t="s">
        <v>742</v>
      </c>
      <c r="B369" s="6" t="s">
        <v>743</v>
      </c>
      <c r="C369" s="7" t="s">
        <v>11</v>
      </c>
      <c r="D369" s="8">
        <v>35.77345</v>
      </c>
      <c r="E369" s="8">
        <v>62.9613</v>
      </c>
      <c r="F369" s="9">
        <v>-27.187850000000005</v>
      </c>
    </row>
    <row r="370">
      <c r="A370" s="5" t="s">
        <v>744</v>
      </c>
      <c r="B370" s="6" t="s">
        <v>745</v>
      </c>
      <c r="C370" s="7" t="s">
        <v>8</v>
      </c>
      <c r="D370" s="8">
        <v>76.18833</v>
      </c>
      <c r="E370" s="8">
        <v>22.7501</v>
      </c>
      <c r="F370" s="10">
        <v>53.43822999999999</v>
      </c>
    </row>
    <row r="371">
      <c r="A371" s="5" t="s">
        <v>746</v>
      </c>
      <c r="B371" s="6" t="s">
        <v>747</v>
      </c>
      <c r="C371" s="7" t="s">
        <v>11</v>
      </c>
      <c r="D371" s="8">
        <v>39.77699</v>
      </c>
      <c r="E371" s="8">
        <v>58.56322</v>
      </c>
      <c r="F371" s="9">
        <v>-18.786230000000003</v>
      </c>
    </row>
    <row r="372">
      <c r="A372" s="5" t="s">
        <v>748</v>
      </c>
      <c r="B372" s="6" t="s">
        <v>749</v>
      </c>
      <c r="C372" s="7" t="s">
        <v>11</v>
      </c>
      <c r="D372" s="8">
        <v>29.10466</v>
      </c>
      <c r="E372" s="8">
        <v>69.45523</v>
      </c>
      <c r="F372" s="9">
        <v>-40.350570000000005</v>
      </c>
    </row>
    <row r="373">
      <c r="A373" s="5" t="s">
        <v>750</v>
      </c>
      <c r="B373" s="6" t="s">
        <v>751</v>
      </c>
      <c r="C373" s="7" t="s">
        <v>11</v>
      </c>
      <c r="D373" s="8">
        <v>40.12083</v>
      </c>
      <c r="E373" s="8">
        <v>58.25186</v>
      </c>
      <c r="F373" s="9">
        <v>-18.131030000000003</v>
      </c>
    </row>
    <row r="374">
      <c r="A374" s="5" t="s">
        <v>752</v>
      </c>
      <c r="B374" s="6" t="s">
        <v>753</v>
      </c>
      <c r="C374" s="7" t="s">
        <v>11</v>
      </c>
      <c r="D374" s="8">
        <v>26.46098</v>
      </c>
      <c r="E374" s="8">
        <v>71.9513</v>
      </c>
      <c r="F374" s="9">
        <v>-45.490320000000004</v>
      </c>
    </row>
    <row r="375">
      <c r="A375" s="5" t="s">
        <v>754</v>
      </c>
      <c r="B375" s="6" t="s">
        <v>755</v>
      </c>
      <c r="C375" s="7" t="s">
        <v>11</v>
      </c>
      <c r="D375" s="8">
        <v>35.03351</v>
      </c>
      <c r="E375" s="8">
        <v>63.57282</v>
      </c>
      <c r="F375" s="9">
        <v>-28.53931</v>
      </c>
    </row>
    <row r="376">
      <c r="A376" s="5" t="s">
        <v>756</v>
      </c>
      <c r="B376" s="6" t="s">
        <v>757</v>
      </c>
      <c r="C376" s="7" t="s">
        <v>11</v>
      </c>
      <c r="D376" s="8">
        <v>48.07667</v>
      </c>
      <c r="E376" s="8">
        <v>50.95878</v>
      </c>
      <c r="F376" s="9">
        <v>-2.8821099999999973</v>
      </c>
    </row>
    <row r="377">
      <c r="A377" s="5" t="s">
        <v>758</v>
      </c>
      <c r="B377" s="6" t="s">
        <v>759</v>
      </c>
      <c r="C377" s="7" t="s">
        <v>8</v>
      </c>
      <c r="D377" s="8">
        <v>66.95189</v>
      </c>
      <c r="E377" s="8">
        <v>31.52006</v>
      </c>
      <c r="F377" s="10">
        <v>35.431830000000005</v>
      </c>
    </row>
    <row r="378">
      <c r="A378" s="5" t="s">
        <v>760</v>
      </c>
      <c r="B378" s="6" t="s">
        <v>761</v>
      </c>
      <c r="C378" s="7" t="s">
        <v>11</v>
      </c>
      <c r="D378" s="8">
        <v>37.99134</v>
      </c>
      <c r="E378" s="8">
        <v>60.53643</v>
      </c>
      <c r="F378" s="9">
        <v>-22.545090000000002</v>
      </c>
    </row>
    <row r="379">
      <c r="A379" s="5" t="s">
        <v>762</v>
      </c>
      <c r="B379" s="6" t="s">
        <v>763</v>
      </c>
      <c r="C379" s="7" t="s">
        <v>8</v>
      </c>
      <c r="D379" s="8">
        <v>73.60226</v>
      </c>
      <c r="E379" s="8">
        <v>25.0515</v>
      </c>
      <c r="F379" s="10">
        <v>48.55076</v>
      </c>
    </row>
    <row r="380">
      <c r="A380" s="5" t="s">
        <v>764</v>
      </c>
      <c r="B380" s="6" t="s">
        <v>765</v>
      </c>
      <c r="C380" s="7" t="s">
        <v>11</v>
      </c>
      <c r="D380" s="8">
        <v>26.1689</v>
      </c>
      <c r="E380" s="8">
        <v>72.40578</v>
      </c>
      <c r="F380" s="9">
        <v>-46.23687999999999</v>
      </c>
    </row>
    <row r="381">
      <c r="A381" s="5" t="s">
        <v>766</v>
      </c>
      <c r="B381" s="6" t="s">
        <v>767</v>
      </c>
      <c r="C381" s="7" t="s">
        <v>8</v>
      </c>
      <c r="D381" s="8">
        <v>65.75271</v>
      </c>
      <c r="E381" s="8">
        <v>32.65185</v>
      </c>
      <c r="F381" s="10">
        <v>33.10085999999999</v>
      </c>
    </row>
    <row r="382">
      <c r="A382" s="5" t="s">
        <v>768</v>
      </c>
      <c r="B382" s="6" t="s">
        <v>769</v>
      </c>
      <c r="C382" s="7" t="s">
        <v>11</v>
      </c>
      <c r="D382" s="8">
        <v>39.41917</v>
      </c>
      <c r="E382" s="8">
        <v>59.11525</v>
      </c>
      <c r="F382" s="9">
        <v>-19.696080000000002</v>
      </c>
    </row>
    <row r="383">
      <c r="A383" s="5" t="s">
        <v>770</v>
      </c>
      <c r="B383" s="6" t="s">
        <v>771</v>
      </c>
      <c r="C383" s="7" t="s">
        <v>11</v>
      </c>
      <c r="D383" s="8">
        <v>41.32087</v>
      </c>
      <c r="E383" s="8">
        <v>57.36564</v>
      </c>
      <c r="F383" s="9">
        <v>-16.04477</v>
      </c>
    </row>
    <row r="384">
      <c r="A384" s="5" t="s">
        <v>772</v>
      </c>
      <c r="B384" s="6" t="s">
        <v>773</v>
      </c>
      <c r="C384" s="7" t="s">
        <v>11</v>
      </c>
      <c r="D384" s="8">
        <v>45.76315</v>
      </c>
      <c r="E384" s="8">
        <v>52.94948</v>
      </c>
      <c r="F384" s="9">
        <v>-7.186329999999998</v>
      </c>
    </row>
    <row r="385">
      <c r="A385" s="5" t="s">
        <v>774</v>
      </c>
      <c r="B385" s="6" t="s">
        <v>775</v>
      </c>
      <c r="C385" s="7" t="s">
        <v>11</v>
      </c>
      <c r="D385" s="8">
        <v>43.03344</v>
      </c>
      <c r="E385" s="8">
        <v>55.37633</v>
      </c>
      <c r="F385" s="9">
        <v>-12.342890000000004</v>
      </c>
    </row>
    <row r="386">
      <c r="A386" s="5" t="s">
        <v>776</v>
      </c>
      <c r="B386" s="6" t="s">
        <v>777</v>
      </c>
      <c r="C386" s="7" t="s">
        <v>11</v>
      </c>
      <c r="D386" s="8">
        <v>33.75558</v>
      </c>
      <c r="E386" s="8">
        <v>64.91449</v>
      </c>
      <c r="F386" s="9">
        <v>-31.15891</v>
      </c>
    </row>
    <row r="387">
      <c r="A387" s="5" t="s">
        <v>778</v>
      </c>
      <c r="B387" s="6" t="s">
        <v>779</v>
      </c>
      <c r="C387" s="7" t="s">
        <v>11</v>
      </c>
      <c r="D387" s="8">
        <v>40.00767</v>
      </c>
      <c r="E387" s="8">
        <v>58.55512</v>
      </c>
      <c r="F387" s="9">
        <v>-18.547450000000005</v>
      </c>
    </row>
    <row r="388">
      <c r="A388" s="5" t="s">
        <v>780</v>
      </c>
      <c r="B388" s="6" t="s">
        <v>781</v>
      </c>
      <c r="C388" s="7" t="s">
        <v>11</v>
      </c>
      <c r="D388" s="8">
        <v>38.13049</v>
      </c>
      <c r="E388" s="8">
        <v>60.55758</v>
      </c>
      <c r="F388" s="9">
        <v>-22.42709</v>
      </c>
    </row>
    <row r="389">
      <c r="A389" s="5" t="s">
        <v>782</v>
      </c>
      <c r="B389" s="6" t="s">
        <v>783</v>
      </c>
      <c r="C389" s="7" t="s">
        <v>8</v>
      </c>
      <c r="D389" s="8">
        <v>52.8994</v>
      </c>
      <c r="E389" s="8">
        <v>45.85462</v>
      </c>
      <c r="F389" s="10">
        <v>7.044780000000003</v>
      </c>
    </row>
    <row r="390">
      <c r="A390" s="5" t="s">
        <v>784</v>
      </c>
      <c r="B390" s="6" t="s">
        <v>785</v>
      </c>
      <c r="C390" s="7" t="s">
        <v>8</v>
      </c>
      <c r="D390" s="8">
        <v>67.77667</v>
      </c>
      <c r="E390" s="8">
        <v>31.04303</v>
      </c>
      <c r="F390" s="10">
        <v>36.733639999999994</v>
      </c>
    </row>
    <row r="391">
      <c r="A391" s="5" t="s">
        <v>786</v>
      </c>
      <c r="B391" s="6" t="s">
        <v>787</v>
      </c>
      <c r="C391" s="7" t="s">
        <v>8</v>
      </c>
      <c r="D391" s="8">
        <v>77.75656</v>
      </c>
      <c r="E391" s="8">
        <v>21.01712</v>
      </c>
      <c r="F391" s="10">
        <v>56.739439999999995</v>
      </c>
    </row>
    <row r="392">
      <c r="A392" s="5" t="s">
        <v>788</v>
      </c>
      <c r="B392" s="6" t="s">
        <v>789</v>
      </c>
      <c r="C392" s="7" t="s">
        <v>11</v>
      </c>
      <c r="D392" s="8">
        <v>38.95201</v>
      </c>
      <c r="E392" s="8">
        <v>59.20565</v>
      </c>
      <c r="F392" s="9">
        <v>-20.253639999999997</v>
      </c>
    </row>
    <row r="393">
      <c r="A393" s="5" t="s">
        <v>790</v>
      </c>
      <c r="B393" s="6" t="s">
        <v>791</v>
      </c>
      <c r="C393" s="7" t="s">
        <v>8</v>
      </c>
      <c r="D393" s="8">
        <v>65.65263</v>
      </c>
      <c r="E393" s="8">
        <v>32.68508</v>
      </c>
      <c r="F393" s="10">
        <v>32.96755</v>
      </c>
    </row>
    <row r="394">
      <c r="A394" s="5" t="s">
        <v>792</v>
      </c>
      <c r="B394" s="6" t="s">
        <v>793</v>
      </c>
      <c r="C394" s="7" t="s">
        <v>8</v>
      </c>
      <c r="D394" s="8">
        <v>74.24601</v>
      </c>
      <c r="E394" s="8">
        <v>24.35147</v>
      </c>
      <c r="F394" s="10">
        <v>49.89454</v>
      </c>
    </row>
    <row r="395">
      <c r="A395" s="5" t="s">
        <v>794</v>
      </c>
      <c r="B395" s="6" t="s">
        <v>795</v>
      </c>
      <c r="C395" s="7" t="s">
        <v>8</v>
      </c>
      <c r="D395" s="8">
        <v>57.30081</v>
      </c>
      <c r="E395" s="8">
        <v>41.7548</v>
      </c>
      <c r="F395" s="10">
        <v>15.546009999999995</v>
      </c>
    </row>
    <row r="396">
      <c r="A396" s="5" t="s">
        <v>796</v>
      </c>
      <c r="B396" s="6" t="s">
        <v>797</v>
      </c>
      <c r="C396" s="7" t="s">
        <v>8</v>
      </c>
      <c r="D396" s="8">
        <v>71.69252</v>
      </c>
      <c r="E396" s="8">
        <v>26.45722</v>
      </c>
      <c r="F396" s="10">
        <v>45.2353</v>
      </c>
    </row>
    <row r="397">
      <c r="A397" s="5" t="s">
        <v>798</v>
      </c>
      <c r="B397" s="6" t="s">
        <v>799</v>
      </c>
      <c r="C397" s="7" t="s">
        <v>11</v>
      </c>
      <c r="D397" s="8">
        <v>33.5824</v>
      </c>
      <c r="E397" s="8">
        <v>65.16532</v>
      </c>
      <c r="F397" s="9">
        <v>-31.582919999999994</v>
      </c>
    </row>
    <row r="398">
      <c r="A398" s="5" t="s">
        <v>800</v>
      </c>
      <c r="B398" s="6" t="s">
        <v>801</v>
      </c>
      <c r="C398" s="7" t="s">
        <v>8</v>
      </c>
      <c r="D398" s="8">
        <v>75.48558</v>
      </c>
      <c r="E398" s="8">
        <v>22.66702</v>
      </c>
      <c r="F398" s="10">
        <v>52.81856</v>
      </c>
    </row>
    <row r="399">
      <c r="A399" s="5" t="s">
        <v>802</v>
      </c>
      <c r="B399" s="6" t="s">
        <v>803</v>
      </c>
      <c r="C399" s="7" t="s">
        <v>11</v>
      </c>
      <c r="D399" s="8">
        <v>40.24471</v>
      </c>
      <c r="E399" s="8">
        <v>58.37076</v>
      </c>
      <c r="F399" s="9">
        <v>-18.12605</v>
      </c>
    </row>
    <row r="400">
      <c r="A400" s="5" t="s">
        <v>804</v>
      </c>
      <c r="B400" s="6" t="s">
        <v>805</v>
      </c>
      <c r="C400" s="7" t="s">
        <v>11</v>
      </c>
      <c r="D400" s="8">
        <v>37.94828</v>
      </c>
      <c r="E400" s="8">
        <v>57.81708</v>
      </c>
      <c r="F400" s="9">
        <v>-19.8688</v>
      </c>
    </row>
    <row r="401">
      <c r="A401" s="5" t="s">
        <v>806</v>
      </c>
      <c r="B401" s="6" t="s">
        <v>807</v>
      </c>
      <c r="C401" s="7" t="s">
        <v>11</v>
      </c>
      <c r="D401" s="8">
        <v>39.5495</v>
      </c>
      <c r="E401" s="8">
        <v>56.67829</v>
      </c>
      <c r="F401" s="9">
        <v>-17.128789999999995</v>
      </c>
    </row>
    <row r="402">
      <c r="A402" s="5" t="s">
        <v>808</v>
      </c>
      <c r="B402" s="6" t="s">
        <v>809</v>
      </c>
      <c r="C402" s="7" t="s">
        <v>11</v>
      </c>
      <c r="D402" s="8">
        <v>38.26538</v>
      </c>
      <c r="E402" s="8">
        <v>57.49085</v>
      </c>
      <c r="F402" s="9">
        <v>-19.22547</v>
      </c>
    </row>
    <row r="403">
      <c r="A403" s="5" t="s">
        <v>810</v>
      </c>
      <c r="B403" s="6" t="s">
        <v>811</v>
      </c>
      <c r="C403" s="7" t="s">
        <v>11</v>
      </c>
      <c r="D403" s="8">
        <v>34.80613</v>
      </c>
      <c r="E403" s="8">
        <v>60.71022</v>
      </c>
      <c r="F403" s="9">
        <v>-25.904089999999997</v>
      </c>
    </row>
    <row r="404">
      <c r="A404" s="5" t="s">
        <v>812</v>
      </c>
      <c r="B404" s="6" t="s">
        <v>813</v>
      </c>
      <c r="C404" s="7" t="s">
        <v>11</v>
      </c>
      <c r="D404" s="8">
        <v>46.17214</v>
      </c>
      <c r="E404" s="8">
        <v>52.34907</v>
      </c>
      <c r="F404" s="9">
        <v>-6.176929999999999</v>
      </c>
    </row>
    <row r="405">
      <c r="A405" s="5" t="s">
        <v>814</v>
      </c>
      <c r="B405" s="6" t="s">
        <v>815</v>
      </c>
      <c r="C405" s="7" t="s">
        <v>11</v>
      </c>
      <c r="D405" s="8">
        <v>50.11257</v>
      </c>
      <c r="E405" s="8">
        <v>48.19561</v>
      </c>
      <c r="F405" s="10">
        <v>1.916959999999996</v>
      </c>
    </row>
    <row r="406">
      <c r="A406" s="5" t="s">
        <v>816</v>
      </c>
      <c r="B406" s="6" t="s">
        <v>817</v>
      </c>
      <c r="C406" s="7" t="s">
        <v>8</v>
      </c>
      <c r="D406" s="8">
        <v>68.33683</v>
      </c>
      <c r="E406" s="8">
        <v>29.97338</v>
      </c>
      <c r="F406" s="10">
        <v>38.36345000000001</v>
      </c>
    </row>
    <row r="407">
      <c r="A407" s="5" t="s">
        <v>818</v>
      </c>
      <c r="B407" s="6" t="s">
        <v>819</v>
      </c>
      <c r="C407" s="7" t="s">
        <v>8</v>
      </c>
      <c r="D407" s="8">
        <v>67.21454</v>
      </c>
      <c r="E407" s="8">
        <v>31.52868</v>
      </c>
      <c r="F407" s="10">
        <v>35.68586</v>
      </c>
    </row>
    <row r="408">
      <c r="A408" s="5" t="s">
        <v>820</v>
      </c>
      <c r="B408" s="6" t="s">
        <v>821</v>
      </c>
      <c r="C408" s="7" t="s">
        <v>11</v>
      </c>
      <c r="D408" s="8">
        <v>45.16916</v>
      </c>
      <c r="E408" s="8">
        <v>53.43741</v>
      </c>
      <c r="F408" s="9">
        <v>-8.268250000000002</v>
      </c>
    </row>
    <row r="409">
      <c r="A409" s="5" t="s">
        <v>822</v>
      </c>
      <c r="B409" s="6" t="s">
        <v>823</v>
      </c>
      <c r="C409" s="7" t="s">
        <v>11</v>
      </c>
      <c r="D409" s="8">
        <v>38.44131</v>
      </c>
      <c r="E409" s="8">
        <v>59.95317</v>
      </c>
      <c r="F409" s="9">
        <v>-21.51186</v>
      </c>
    </row>
    <row r="410">
      <c r="A410" s="5" t="s">
        <v>824</v>
      </c>
      <c r="B410" s="6" t="s">
        <v>825</v>
      </c>
      <c r="C410" s="7" t="s">
        <v>8</v>
      </c>
      <c r="D410" s="8">
        <v>52.60743</v>
      </c>
      <c r="E410" s="8">
        <v>45.81071</v>
      </c>
      <c r="F410" s="10">
        <v>6.7967200000000005</v>
      </c>
    </row>
    <row r="411">
      <c r="A411" s="5" t="s">
        <v>826</v>
      </c>
      <c r="B411" s="6" t="s">
        <v>827</v>
      </c>
      <c r="C411" s="7" t="s">
        <v>8</v>
      </c>
      <c r="D411" s="8">
        <v>77.35496</v>
      </c>
      <c r="E411" s="8">
        <v>21.33202</v>
      </c>
      <c r="F411" s="10">
        <v>56.022940000000006</v>
      </c>
    </row>
    <row r="412">
      <c r="A412" s="5" t="s">
        <v>828</v>
      </c>
      <c r="B412" s="6" t="s">
        <v>829</v>
      </c>
      <c r="C412" s="7" t="s">
        <v>11</v>
      </c>
      <c r="D412" s="8">
        <v>28.46588</v>
      </c>
      <c r="E412" s="8">
        <v>70.33837</v>
      </c>
      <c r="F412" s="9">
        <v>-41.87249</v>
      </c>
    </row>
    <row r="413">
      <c r="A413" s="5" t="s">
        <v>830</v>
      </c>
      <c r="B413" s="6" t="s">
        <v>831</v>
      </c>
      <c r="C413" s="7" t="s">
        <v>8</v>
      </c>
      <c r="D413" s="8">
        <v>58.28391</v>
      </c>
      <c r="E413" s="8">
        <v>40.2276</v>
      </c>
      <c r="F413" s="10">
        <v>18.056309999999996</v>
      </c>
    </row>
    <row r="414">
      <c r="A414" s="5" t="s">
        <v>832</v>
      </c>
      <c r="B414" s="6" t="s">
        <v>833</v>
      </c>
      <c r="C414" s="7" t="s">
        <v>8</v>
      </c>
      <c r="D414" s="8">
        <v>69.95105</v>
      </c>
      <c r="E414" s="8">
        <v>28.66575</v>
      </c>
      <c r="F414" s="10">
        <v>41.28529999999999</v>
      </c>
    </row>
    <row r="415">
      <c r="A415" s="5" t="s">
        <v>834</v>
      </c>
      <c r="B415" s="6" t="s">
        <v>835</v>
      </c>
      <c r="C415" s="7" t="s">
        <v>8</v>
      </c>
      <c r="D415" s="8">
        <v>66.43757</v>
      </c>
      <c r="E415" s="8">
        <v>30.83675</v>
      </c>
      <c r="F415" s="10">
        <v>35.60082</v>
      </c>
    </row>
    <row r="416">
      <c r="A416" s="5" t="s">
        <v>836</v>
      </c>
      <c r="B416" s="6" t="s">
        <v>837</v>
      </c>
      <c r="C416" s="7" t="s">
        <v>8</v>
      </c>
      <c r="D416" s="8">
        <v>63.96948</v>
      </c>
      <c r="E416" s="8">
        <v>33.33658</v>
      </c>
      <c r="F416" s="10">
        <v>30.6329</v>
      </c>
    </row>
    <row r="417">
      <c r="A417" s="5" t="s">
        <v>838</v>
      </c>
      <c r="B417" s="6" t="s">
        <v>839</v>
      </c>
      <c r="C417" s="7" t="s">
        <v>8</v>
      </c>
      <c r="D417" s="8">
        <v>60.14432</v>
      </c>
      <c r="E417" s="8">
        <v>37.21924</v>
      </c>
      <c r="F417" s="10">
        <v>22.92508</v>
      </c>
    </row>
    <row r="418">
      <c r="A418" s="5" t="s">
        <v>840</v>
      </c>
      <c r="B418" s="6" t="s">
        <v>841</v>
      </c>
      <c r="C418" s="7" t="s">
        <v>8</v>
      </c>
      <c r="D418" s="8">
        <v>46.62787</v>
      </c>
      <c r="E418" s="8">
        <v>50.83016</v>
      </c>
      <c r="F418" s="9">
        <v>-4.202289999999998</v>
      </c>
    </row>
    <row r="419">
      <c r="A419" s="5" t="s">
        <v>842</v>
      </c>
      <c r="B419" s="6" t="s">
        <v>843</v>
      </c>
      <c r="C419" s="7" t="s">
        <v>11</v>
      </c>
      <c r="D419" s="8">
        <v>40.27667</v>
      </c>
      <c r="E419" s="8">
        <v>57.2269</v>
      </c>
      <c r="F419" s="9">
        <v>-16.950229999999998</v>
      </c>
    </row>
    <row r="420">
      <c r="A420" s="5" t="s">
        <v>844</v>
      </c>
      <c r="B420" s="6" t="s">
        <v>845</v>
      </c>
      <c r="C420" s="7" t="s">
        <v>11</v>
      </c>
      <c r="D420" s="8">
        <v>43.54698</v>
      </c>
      <c r="E420" s="8">
        <v>53.51315</v>
      </c>
      <c r="F420" s="9">
        <v>-9.966170000000005</v>
      </c>
    </row>
    <row r="421">
      <c r="A421" s="5" t="s">
        <v>846</v>
      </c>
      <c r="B421" s="6" t="s">
        <v>847</v>
      </c>
      <c r="C421" s="7" t="s">
        <v>8</v>
      </c>
      <c r="D421" s="8">
        <v>57.10178</v>
      </c>
      <c r="E421" s="8">
        <v>39.88776</v>
      </c>
      <c r="F421" s="10">
        <v>17.214019999999998</v>
      </c>
    </row>
    <row r="422">
      <c r="A422" s="5" t="s">
        <v>848</v>
      </c>
      <c r="B422" s="6" t="s">
        <v>849</v>
      </c>
      <c r="C422" s="7" t="s">
        <v>8</v>
      </c>
      <c r="D422" s="8">
        <v>86.77525</v>
      </c>
      <c r="E422" s="8">
        <v>11.27009</v>
      </c>
      <c r="F422" s="10">
        <v>75.50516</v>
      </c>
    </row>
    <row r="423">
      <c r="A423" s="5" t="s">
        <v>850</v>
      </c>
      <c r="B423" s="6" t="s">
        <v>851</v>
      </c>
      <c r="C423" s="7" t="s">
        <v>8</v>
      </c>
      <c r="D423" s="8">
        <v>52.03794</v>
      </c>
      <c r="E423" s="8">
        <v>45.31639</v>
      </c>
      <c r="F423" s="10">
        <v>6.721550000000001</v>
      </c>
    </row>
    <row r="424">
      <c r="A424" s="5" t="s">
        <v>852</v>
      </c>
      <c r="B424" s="6" t="s">
        <v>853</v>
      </c>
      <c r="C424" s="7" t="s">
        <v>8</v>
      </c>
      <c r="D424" s="8">
        <v>71.54505</v>
      </c>
      <c r="E424" s="8">
        <v>26.3443</v>
      </c>
      <c r="F424" s="10">
        <v>45.20075</v>
      </c>
    </row>
    <row r="425">
      <c r="A425" s="5" t="s">
        <v>854</v>
      </c>
      <c r="B425" s="6" t="s">
        <v>855</v>
      </c>
      <c r="C425" s="7" t="s">
        <v>8</v>
      </c>
      <c r="D425" s="8">
        <v>57.30515</v>
      </c>
      <c r="E425" s="8">
        <v>39.60524</v>
      </c>
      <c r="F425" s="10">
        <v>17.699909999999996</v>
      </c>
    </row>
    <row r="426">
      <c r="A426" s="5" t="s">
        <v>856</v>
      </c>
      <c r="B426" s="6" t="s">
        <v>857</v>
      </c>
      <c r="C426" s="7" t="s">
        <v>11</v>
      </c>
      <c r="D426" s="8">
        <v>48.27215</v>
      </c>
      <c r="E426" s="8">
        <v>50.2788</v>
      </c>
      <c r="F426" s="9">
        <v>-2.0066499999999934</v>
      </c>
    </row>
    <row r="427">
      <c r="A427" s="5" t="s">
        <v>858</v>
      </c>
      <c r="B427" s="6" t="s">
        <v>859</v>
      </c>
      <c r="C427" s="7" t="s">
        <v>8</v>
      </c>
      <c r="D427" s="8">
        <v>70.1807</v>
      </c>
      <c r="E427" s="8">
        <v>28.42932</v>
      </c>
      <c r="F427" s="10">
        <v>41.75138</v>
      </c>
    </row>
    <row r="428">
      <c r="A428" s="5" t="s">
        <v>860</v>
      </c>
      <c r="B428" s="6" t="s">
        <v>861</v>
      </c>
      <c r="C428" s="7" t="s">
        <v>11</v>
      </c>
      <c r="D428" s="8">
        <v>46.79247</v>
      </c>
      <c r="E428" s="8">
        <v>51.46971</v>
      </c>
      <c r="F428" s="9">
        <v>-4.677239999999998</v>
      </c>
    </row>
    <row r="429">
      <c r="A429" s="5" t="s">
        <v>862</v>
      </c>
      <c r="B429" s="6" t="s">
        <v>863</v>
      </c>
      <c r="C429" s="7" t="s">
        <v>8</v>
      </c>
      <c r="D429" s="8">
        <v>75.91992</v>
      </c>
      <c r="E429" s="8">
        <v>22.84854</v>
      </c>
      <c r="F429" s="10">
        <v>53.071380000000005</v>
      </c>
    </row>
    <row r="430">
      <c r="A430" s="5" t="s">
        <v>864</v>
      </c>
      <c r="B430" s="6" t="s">
        <v>865</v>
      </c>
      <c r="C430" s="7" t="s">
        <v>11</v>
      </c>
      <c r="D430" s="8">
        <v>37.86397</v>
      </c>
      <c r="E430" s="8">
        <v>60.75716</v>
      </c>
      <c r="F430" s="9">
        <v>-22.893189999999997</v>
      </c>
    </row>
    <row r="431">
      <c r="A431" s="5" t="s">
        <v>866</v>
      </c>
      <c r="B431" s="6" t="s">
        <v>867</v>
      </c>
      <c r="C431" s="7" t="s">
        <v>11</v>
      </c>
      <c r="D431" s="8">
        <v>41.35807</v>
      </c>
      <c r="E431" s="8">
        <v>57.02576</v>
      </c>
      <c r="F431" s="9">
        <v>-15.66769</v>
      </c>
    </row>
    <row r="432">
      <c r="A432" s="5" t="s">
        <v>868</v>
      </c>
      <c r="B432" s="6" t="s">
        <v>869</v>
      </c>
      <c r="C432" s="7" t="s">
        <v>11</v>
      </c>
      <c r="D432" s="8">
        <v>39.25788</v>
      </c>
      <c r="E432" s="8">
        <v>59.21787</v>
      </c>
      <c r="F432" s="9">
        <v>-19.959989999999998</v>
      </c>
    </row>
    <row r="433">
      <c r="A433" s="5" t="s">
        <v>870</v>
      </c>
      <c r="B433" s="6" t="s">
        <v>871</v>
      </c>
      <c r="C433" s="7" t="s">
        <v>11</v>
      </c>
      <c r="D433" s="8">
        <v>41.48051</v>
      </c>
      <c r="E433" s="8">
        <v>56.97301</v>
      </c>
      <c r="F433" s="9">
        <v>-15.4925</v>
      </c>
    </row>
    <row r="434">
      <c r="A434" s="5" t="s">
        <v>872</v>
      </c>
      <c r="B434" s="6" t="s">
        <v>873</v>
      </c>
      <c r="C434" s="7" t="s">
        <v>11</v>
      </c>
      <c r="D434" s="8">
        <v>28.77073</v>
      </c>
      <c r="E434" s="8">
        <v>69.6739</v>
      </c>
      <c r="F434" s="9">
        <v>-40.90317</v>
      </c>
    </row>
    <row r="435">
      <c r="A435" s="5" t="s">
        <v>874</v>
      </c>
      <c r="B435" s="6" t="s">
        <v>875</v>
      </c>
      <c r="C435" s="7" t="s">
        <v>11</v>
      </c>
      <c r="D435" s="8">
        <v>30.60043</v>
      </c>
      <c r="E435" s="8">
        <v>67.61383</v>
      </c>
      <c r="F435" s="9">
        <v>-37.01339999999999</v>
      </c>
    </row>
    <row r="436">
      <c r="A436" s="5" t="s">
        <v>876</v>
      </c>
      <c r="B436" s="6" t="s">
        <v>877</v>
      </c>
      <c r="C436" s="7" t="s">
        <v>11</v>
      </c>
      <c r="D436" s="8">
        <v>26.72147</v>
      </c>
      <c r="E436" s="8">
        <v>70.37844</v>
      </c>
      <c r="F436" s="9">
        <v>-43.65697</v>
      </c>
    </row>
  </sheetData>
  <conditionalFormatting sqref="C2:C436">
    <cfRule type="containsText" dxfId="3" priority="1" operator="containsText" text="R">
      <formula>NOT(ISERROR(SEARCH(("R"),(C2))))</formula>
    </cfRule>
  </conditionalFormatting>
  <conditionalFormatting sqref="C2:C436">
    <cfRule type="containsText" dxfId="4" priority="2" operator="containsText" text="D">
      <formula>NOT(ISERROR(SEARCH(("D"),(C2))))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1.5"/>
    <col customWidth="1" min="3" max="3" width="5.13"/>
    <col customWidth="1" min="4" max="8" width="8.88"/>
  </cols>
  <sheetData>
    <row r="1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878</v>
      </c>
      <c r="G1" s="16" t="s">
        <v>879</v>
      </c>
      <c r="H1" s="16" t="s">
        <v>880</v>
      </c>
    </row>
    <row r="2">
      <c r="A2" s="17" t="s">
        <v>6</v>
      </c>
      <c r="B2" s="18" t="str">
        <f>VLOOKUP($A2,Results!$A$2:$C$436,2,FALSE)</f>
        <v>Mary Peltola</v>
      </c>
      <c r="C2" s="19" t="str">
        <f>VLOOKUP($A2,Results!$A$2:$C$436,3,FALSE)</f>
        <v>(D)</v>
      </c>
      <c r="D2" s="20">
        <v>153778.0</v>
      </c>
      <c r="E2" s="21">
        <v>189951.0</v>
      </c>
      <c r="F2" s="21">
        <v>357569.0</v>
      </c>
      <c r="G2" s="22">
        <v>0.43006524614829583</v>
      </c>
      <c r="H2" s="22">
        <v>0.5312289376316179</v>
      </c>
    </row>
    <row r="3">
      <c r="A3" s="17" t="s">
        <v>9</v>
      </c>
      <c r="B3" s="18" t="str">
        <f>VLOOKUP($A3,Results!$A$2:$C$436,2,FALSE)</f>
        <v>Jerry Carl</v>
      </c>
      <c r="C3" s="19" t="str">
        <f>VLOOKUP($A3,Results!$A$2:$C$436,3,FALSE)</f>
        <v>(R)</v>
      </c>
      <c r="D3" s="23">
        <v>115565.71109700852</v>
      </c>
      <c r="E3" s="23">
        <v>208116.01158782226</v>
      </c>
      <c r="F3" s="23">
        <v>327038.9729874942</v>
      </c>
      <c r="G3" s="24">
        <v>0.35336984470480126</v>
      </c>
      <c r="H3" s="24">
        <v>0.6363645582870042</v>
      </c>
    </row>
    <row r="4">
      <c r="A4" s="17" t="s">
        <v>12</v>
      </c>
      <c r="B4" s="18" t="str">
        <f>VLOOKUP($A4,Results!$A$2:$C$436,2,FALSE)</f>
        <v>Barry Moore</v>
      </c>
      <c r="C4" s="19" t="str">
        <f>VLOOKUP($A4,Results!$A$2:$C$436,3,FALSE)</f>
        <v>(R)</v>
      </c>
      <c r="D4" s="23">
        <v>111263.75858860438</v>
      </c>
      <c r="E4" s="23">
        <v>205435.16107918965</v>
      </c>
      <c r="F4" s="23">
        <v>319816.6885742775</v>
      </c>
      <c r="G4" s="24">
        <v>0.3478985386429056</v>
      </c>
      <c r="H4" s="24">
        <v>0.6423528490492683</v>
      </c>
    </row>
    <row r="5">
      <c r="A5" s="17" t="s">
        <v>14</v>
      </c>
      <c r="B5" s="18" t="str">
        <f>VLOOKUP($A5,Results!$A$2:$C$436,2,FALSE)</f>
        <v>Mike Rogers</v>
      </c>
      <c r="C5" s="19" t="str">
        <f>VLOOKUP($A5,Results!$A$2:$C$436,3,FALSE)</f>
        <v>(R)</v>
      </c>
      <c r="D5" s="23">
        <v>102771.98091860172</v>
      </c>
      <c r="E5" s="23">
        <v>210796.61648211622</v>
      </c>
      <c r="F5" s="23">
        <v>316695.1887209477</v>
      </c>
      <c r="G5" s="24">
        <v>0.3245138687886985</v>
      </c>
      <c r="H5" s="24">
        <v>0.6656135741546021</v>
      </c>
    </row>
    <row r="6">
      <c r="A6" s="17" t="s">
        <v>16</v>
      </c>
      <c r="B6" s="18" t="str">
        <f>VLOOKUP($A6,Results!$A$2:$C$436,2,FALSE)</f>
        <v>Robert Aderholt</v>
      </c>
      <c r="C6" s="19" t="str">
        <f>VLOOKUP($A6,Results!$A$2:$C$436,3,FALSE)</f>
        <v>(R)</v>
      </c>
      <c r="D6" s="23">
        <v>60732.59737364754</v>
      </c>
      <c r="E6" s="23">
        <v>262358.86979561613</v>
      </c>
      <c r="F6" s="23">
        <v>326260.570996993</v>
      </c>
      <c r="G6" s="24">
        <v>0.1861475237049324</v>
      </c>
      <c r="H6" s="24">
        <v>0.8041390628168618</v>
      </c>
    </row>
    <row r="7">
      <c r="A7" s="17" t="s">
        <v>18</v>
      </c>
      <c r="B7" s="18" t="str">
        <f>VLOOKUP($A7,Results!$A$2:$C$436,2,FALSE)</f>
        <v>Dale Strong</v>
      </c>
      <c r="C7" s="19" t="str">
        <f>VLOOKUP($A7,Results!$A$2:$C$436,3,FALSE)</f>
        <v>(R)</v>
      </c>
      <c r="D7" s="23">
        <v>123032.33869178283</v>
      </c>
      <c r="E7" s="23">
        <v>216584.05382272584</v>
      </c>
      <c r="F7" s="23">
        <v>345255.0751599328</v>
      </c>
      <c r="G7" s="24">
        <v>0.356352006222618</v>
      </c>
      <c r="H7" s="24">
        <v>0.6273160610959807</v>
      </c>
    </row>
    <row r="8">
      <c r="A8" s="17" t="s">
        <v>20</v>
      </c>
      <c r="B8" s="18" t="str">
        <f>VLOOKUP($A8,Results!$A$2:$C$436,2,FALSE)</f>
        <v>Gary Palmer</v>
      </c>
      <c r="C8" s="19" t="str">
        <f>VLOOKUP($A8,Results!$A$2:$C$436,3,FALSE)</f>
        <v>(R)</v>
      </c>
      <c r="D8" s="23">
        <v>122189.13722621846</v>
      </c>
      <c r="E8" s="23">
        <v>228266.87266528554</v>
      </c>
      <c r="F8" s="23">
        <v>354697.7782927955</v>
      </c>
      <c r="G8" s="24">
        <v>0.3444880253108152</v>
      </c>
      <c r="H8" s="24">
        <v>0.6435531504143115</v>
      </c>
    </row>
    <row r="9">
      <c r="A9" s="17" t="s">
        <v>22</v>
      </c>
      <c r="B9" s="18" t="str">
        <f>VLOOKUP($A9,Results!$A$2:$C$436,2,FALSE)</f>
        <v>Terri Sewell</v>
      </c>
      <c r="C9" s="19" t="str">
        <f>VLOOKUP($A9,Results!$A$2:$C$436,3,FALSE)</f>
        <v>(D)</v>
      </c>
      <c r="D9" s="23">
        <v>214068.47610413656</v>
      </c>
      <c r="E9" s="23">
        <v>109612.41456724433</v>
      </c>
      <c r="F9" s="23">
        <v>326205.72526755923</v>
      </c>
      <c r="G9" s="24">
        <v>0.6562376424526396</v>
      </c>
      <c r="H9" s="24">
        <v>0.3360223505499127</v>
      </c>
    </row>
    <row r="10">
      <c r="A10" s="17" t="s">
        <v>24</v>
      </c>
      <c r="B10" s="18" t="str">
        <f>VLOOKUP($A10,Results!$A$2:$C$436,2,FALSE)</f>
        <v>Rick Crawford</v>
      </c>
      <c r="C10" s="19" t="str">
        <f>VLOOKUP($A10,Results!$A$2:$C$436,3,FALSE)</f>
        <v>(R)</v>
      </c>
      <c r="D10" s="23">
        <v>80516.0</v>
      </c>
      <c r="E10" s="23">
        <v>197832.0</v>
      </c>
      <c r="F10" s="23">
        <v>286792.0</v>
      </c>
      <c r="G10" s="24">
        <v>0.2807470222321404</v>
      </c>
      <c r="H10" s="24">
        <v>0.689810036542163</v>
      </c>
    </row>
    <row r="11">
      <c r="A11" s="17" t="s">
        <v>26</v>
      </c>
      <c r="B11" s="18" t="str">
        <f>VLOOKUP($A11,Results!$A$2:$C$436,2,FALSE)</f>
        <v>French Hill</v>
      </c>
      <c r="C11" s="19" t="str">
        <f>VLOOKUP($A11,Results!$A$2:$C$436,3,FALSE)</f>
        <v>(R)</v>
      </c>
      <c r="D11" s="23">
        <v>140254.0</v>
      </c>
      <c r="E11" s="23">
        <v>183964.0</v>
      </c>
      <c r="F11" s="23">
        <v>333041.0</v>
      </c>
      <c r="G11" s="24">
        <v>0.4211313321783204</v>
      </c>
      <c r="H11" s="24">
        <v>0.5523764341327344</v>
      </c>
    </row>
    <row r="12">
      <c r="A12" s="17" t="s">
        <v>28</v>
      </c>
      <c r="B12" s="18" t="str">
        <f>VLOOKUP($A12,Results!$A$2:$C$436,2,FALSE)</f>
        <v>Steve Womack</v>
      </c>
      <c r="C12" s="19" t="str">
        <f>VLOOKUP($A12,Results!$A$2:$C$436,3,FALSE)</f>
        <v>(R)</v>
      </c>
      <c r="D12" s="23">
        <v>110479.0</v>
      </c>
      <c r="E12" s="23">
        <v>180794.0</v>
      </c>
      <c r="F12" s="23">
        <v>300274.0</v>
      </c>
      <c r="G12" s="24">
        <v>0.3679272930723273</v>
      </c>
      <c r="H12" s="24">
        <v>0.6020967516335081</v>
      </c>
    </row>
    <row r="13">
      <c r="A13" s="17" t="s">
        <v>30</v>
      </c>
      <c r="B13" s="18" t="str">
        <f>VLOOKUP($A13,Results!$A$2:$C$436,2,FALSE)</f>
        <v>Bruce Westerman</v>
      </c>
      <c r="C13" s="19" t="str">
        <f>VLOOKUP($A13,Results!$A$2:$C$436,3,FALSE)</f>
        <v>(R)</v>
      </c>
      <c r="D13" s="23">
        <v>92683.0</v>
      </c>
      <c r="E13" s="23">
        <v>198057.0</v>
      </c>
      <c r="F13" s="23">
        <v>298962.0</v>
      </c>
      <c r="G13" s="24">
        <v>0.3100159886540764</v>
      </c>
      <c r="H13" s="24">
        <v>0.6624821883717663</v>
      </c>
    </row>
    <row r="14">
      <c r="A14" s="17" t="s">
        <v>32</v>
      </c>
      <c r="B14" s="18" t="str">
        <f>VLOOKUP($A14,Results!$A$2:$C$436,2,FALSE)</f>
        <v>David Schweikert</v>
      </c>
      <c r="C14" s="19" t="str">
        <f>VLOOKUP($A14,Results!$A$2:$C$436,3,FALSE)</f>
        <v>(R)</v>
      </c>
      <c r="D14" s="23">
        <v>231886.55445162902</v>
      </c>
      <c r="E14" s="23">
        <v>225012.71934677844</v>
      </c>
      <c r="F14" s="23">
        <v>462783.8427338809</v>
      </c>
      <c r="G14" s="24">
        <v>0.5010688209894419</v>
      </c>
      <c r="H14" s="24">
        <v>0.48621559045260293</v>
      </c>
    </row>
    <row r="15">
      <c r="A15" s="17" t="s">
        <v>34</v>
      </c>
      <c r="B15" s="18" t="str">
        <f>VLOOKUP($A15,Results!$A$2:$C$436,2,FALSE)</f>
        <v>Eli Crane</v>
      </c>
      <c r="C15" s="19" t="str">
        <f>VLOOKUP($A15,Results!$A$2:$C$436,3,FALSE)</f>
        <v>(R)</v>
      </c>
      <c r="D15" s="23">
        <v>183714.29921550895</v>
      </c>
      <c r="E15" s="23">
        <v>215659.4229438583</v>
      </c>
      <c r="F15" s="23">
        <v>405633.40505408146</v>
      </c>
      <c r="G15" s="24">
        <v>0.4529072234349512</v>
      </c>
      <c r="H15" s="24">
        <v>0.5316609042963444</v>
      </c>
    </row>
    <row r="16">
      <c r="A16" s="17" t="s">
        <v>36</v>
      </c>
      <c r="B16" s="18" t="str">
        <f>VLOOKUP($A16,Results!$A$2:$C$436,2,FALSE)</f>
        <v>Ruben Gallego</v>
      </c>
      <c r="C16" s="19" t="str">
        <f>VLOOKUP($A16,Results!$A$2:$C$436,3,FALSE)</f>
        <v>(D)</v>
      </c>
      <c r="D16" s="23">
        <v>170840.212988371</v>
      </c>
      <c r="E16" s="23">
        <v>54753.60762780655</v>
      </c>
      <c r="F16" s="23">
        <v>229284.97979721217</v>
      </c>
      <c r="G16" s="24">
        <v>0.7450998889655492</v>
      </c>
      <c r="H16" s="24">
        <v>0.2388015459025384</v>
      </c>
    </row>
    <row r="17">
      <c r="A17" s="17" t="s">
        <v>38</v>
      </c>
      <c r="B17" s="18" t="str">
        <f>VLOOKUP($A17,Results!$A$2:$C$436,2,FALSE)</f>
        <v>Greg Stanton</v>
      </c>
      <c r="C17" s="19" t="str">
        <f>VLOOKUP($A17,Results!$A$2:$C$436,3,FALSE)</f>
        <v>(D)</v>
      </c>
      <c r="D17" s="23">
        <v>201237.56060514637</v>
      </c>
      <c r="E17" s="23">
        <v>162975.03356722114</v>
      </c>
      <c r="F17" s="23">
        <v>371496.99836559413</v>
      </c>
      <c r="G17" s="24">
        <v>0.5416936381464551</v>
      </c>
      <c r="H17" s="24">
        <v>0.43869811676603554</v>
      </c>
    </row>
    <row r="18">
      <c r="A18" s="17" t="s">
        <v>40</v>
      </c>
      <c r="B18" s="18" t="str">
        <f>VLOOKUP($A18,Results!$A$2:$C$436,2,FALSE)</f>
        <v>Andy Biggs</v>
      </c>
      <c r="C18" s="19" t="str">
        <f>VLOOKUP($A18,Results!$A$2:$C$436,3,FALSE)</f>
        <v>(R)</v>
      </c>
      <c r="D18" s="23">
        <v>171277.5645996752</v>
      </c>
      <c r="E18" s="23">
        <v>239646.23078310865</v>
      </c>
      <c r="F18" s="23">
        <v>417419.2430091725</v>
      </c>
      <c r="G18" s="24">
        <v>0.41032503284931576</v>
      </c>
      <c r="H18" s="24">
        <v>0.5741139988072916</v>
      </c>
    </row>
    <row r="19">
      <c r="A19" s="17" t="s">
        <v>42</v>
      </c>
      <c r="B19" s="18" t="str">
        <f>VLOOKUP($A19,Results!$A$2:$C$436,2,FALSE)</f>
        <v>Juan Ciscomani</v>
      </c>
      <c r="C19" s="19" t="str">
        <f>VLOOKUP($A19,Results!$A$2:$C$436,3,FALSE)</f>
        <v>(R)</v>
      </c>
      <c r="D19" s="23">
        <v>214896.16992311107</v>
      </c>
      <c r="E19" s="23">
        <v>214579.976534791</v>
      </c>
      <c r="F19" s="23">
        <v>436078.6386562909</v>
      </c>
      <c r="G19" s="24">
        <v>0.49279224175089265</v>
      </c>
      <c r="H19" s="24">
        <v>0.49206715833636366</v>
      </c>
    </row>
    <row r="20">
      <c r="A20" s="17" t="s">
        <v>44</v>
      </c>
      <c r="B20" s="18" t="str">
        <f>VLOOKUP($A20,Results!$A$2:$C$436,2,FALSE)</f>
        <v>Raúl Grijalva</v>
      </c>
      <c r="C20" s="19" t="str">
        <f>VLOOKUP($A20,Results!$A$2:$C$436,3,FALSE)</f>
        <v>(D)</v>
      </c>
      <c r="D20" s="23">
        <v>194859.55968940386</v>
      </c>
      <c r="E20" s="23">
        <v>97579.75677417807</v>
      </c>
      <c r="F20" s="23">
        <v>296840.103341977</v>
      </c>
      <c r="G20" s="24">
        <v>0.6564462062085807</v>
      </c>
      <c r="H20" s="24">
        <v>0.32872834794077854</v>
      </c>
    </row>
    <row r="21">
      <c r="A21" s="17" t="s">
        <v>46</v>
      </c>
      <c r="B21" s="18" t="str">
        <f>VLOOKUP($A21,Results!$A$2:$C$436,2,FALSE)</f>
        <v>Debbie Lesko</v>
      </c>
      <c r="C21" s="19" t="str">
        <f>VLOOKUP($A21,Results!$A$2:$C$436,3,FALSE)</f>
        <v>(R)</v>
      </c>
      <c r="D21" s="23">
        <v>171266.36993108926</v>
      </c>
      <c r="E21" s="23">
        <v>225760.71333937676</v>
      </c>
      <c r="F21" s="23">
        <v>402630.47092456254</v>
      </c>
      <c r="G21" s="24">
        <v>0.42536862532487757</v>
      </c>
      <c r="H21" s="24">
        <v>0.560714425862904</v>
      </c>
    </row>
    <row r="22">
      <c r="A22" s="17" t="s">
        <v>48</v>
      </c>
      <c r="B22" s="18" t="str">
        <f>VLOOKUP($A22,Results!$A$2:$C$436,2,FALSE)</f>
        <v>Paul Gosar</v>
      </c>
      <c r="C22" s="19" t="str">
        <f>VLOOKUP($A22,Results!$A$2:$C$436,3,FALSE)</f>
        <v>(R)</v>
      </c>
      <c r="D22" s="23">
        <v>132164.70859606526</v>
      </c>
      <c r="E22" s="23">
        <v>225718.5390828811</v>
      </c>
      <c r="F22" s="23">
        <v>363126.31811722834</v>
      </c>
      <c r="G22" s="24">
        <v>0.3639634529420102</v>
      </c>
      <c r="H22" s="24">
        <v>0.6215978512744764</v>
      </c>
    </row>
    <row r="23">
      <c r="A23" s="17" t="s">
        <v>50</v>
      </c>
      <c r="B23" s="18" t="str">
        <f>VLOOKUP($A23,Results!$A$2:$C$436,2,FALSE)</f>
        <v>Doug LaMalfa</v>
      </c>
      <c r="C23" s="19" t="str">
        <f>VLOOKUP($A23,Results!$A$2:$C$436,3,FALSE)</f>
        <v>(R)</v>
      </c>
      <c r="D23" s="23">
        <v>136550.29931844337</v>
      </c>
      <c r="E23" s="23">
        <v>203077.02886011382</v>
      </c>
      <c r="F23" s="23">
        <v>348189.47596961935</v>
      </c>
      <c r="G23" s="24">
        <v>0.3921723910183828</v>
      </c>
      <c r="H23" s="24">
        <v>0.5832371248286463</v>
      </c>
    </row>
    <row r="24">
      <c r="A24" s="17" t="s">
        <v>52</v>
      </c>
      <c r="B24" s="18" t="str">
        <f>VLOOKUP($A24,Results!$A$2:$C$436,2,FALSE)</f>
        <v>Jared Huffman</v>
      </c>
      <c r="C24" s="19" t="str">
        <f>VLOOKUP($A24,Results!$A$2:$C$436,3,FALSE)</f>
        <v>(D)</v>
      </c>
      <c r="D24" s="23">
        <v>310591.84786744876</v>
      </c>
      <c r="E24" s="23">
        <v>101570.20026800496</v>
      </c>
      <c r="F24" s="23">
        <v>422441.05996252014</v>
      </c>
      <c r="G24" s="24">
        <v>0.7352312009987976</v>
      </c>
      <c r="H24" s="24">
        <v>0.24043638247905277</v>
      </c>
    </row>
    <row r="25">
      <c r="A25" s="17" t="s">
        <v>54</v>
      </c>
      <c r="B25" s="18" t="str">
        <f>VLOOKUP($A25,Results!$A$2:$C$436,2,FALSE)</f>
        <v>Kevin Kiley</v>
      </c>
      <c r="C25" s="19" t="str">
        <f>VLOOKUP($A25,Results!$A$2:$C$436,3,FALSE)</f>
        <v>(R)</v>
      </c>
      <c r="D25" s="23">
        <v>211790.45113102716</v>
      </c>
      <c r="E25" s="23">
        <v>219761.84178614305</v>
      </c>
      <c r="F25" s="23">
        <v>442450.980281971</v>
      </c>
      <c r="G25" s="24">
        <v>0.47867551563803645</v>
      </c>
      <c r="H25" s="24">
        <v>0.49669195363990454</v>
      </c>
    </row>
    <row r="26">
      <c r="A26" s="17" t="s">
        <v>56</v>
      </c>
      <c r="B26" s="18" t="str">
        <f>VLOOKUP($A26,Results!$A$2:$C$436,2,FALSE)</f>
        <v>Mike Thompson</v>
      </c>
      <c r="C26" s="19" t="str">
        <f>VLOOKUP($A26,Results!$A$2:$C$436,3,FALSE)</f>
        <v>(D)</v>
      </c>
      <c r="D26" s="23">
        <v>250307.70966737028</v>
      </c>
      <c r="E26" s="23">
        <v>113844.3735954732</v>
      </c>
      <c r="F26" s="23">
        <v>373277.6323734566</v>
      </c>
      <c r="G26" s="24">
        <v>0.6705671274107915</v>
      </c>
      <c r="H26" s="24">
        <v>0.3049857899912263</v>
      </c>
    </row>
    <row r="27">
      <c r="A27" s="17" t="s">
        <v>58</v>
      </c>
      <c r="B27" s="18" t="str">
        <f>VLOOKUP($A27,Results!$A$2:$C$436,2,FALSE)</f>
        <v>Tom McClintock</v>
      </c>
      <c r="C27" s="19" t="str">
        <f>VLOOKUP($A27,Results!$A$2:$C$436,3,FALSE)</f>
        <v>(R)</v>
      </c>
      <c r="D27" s="23">
        <v>171424.32596218097</v>
      </c>
      <c r="E27" s="23">
        <v>220770.02274727722</v>
      </c>
      <c r="F27" s="23">
        <v>401076.14740172226</v>
      </c>
      <c r="G27" s="24">
        <v>0.427410922022447</v>
      </c>
      <c r="H27" s="24">
        <v>0.550444159238798</v>
      </c>
    </row>
    <row r="28">
      <c r="A28" s="17" t="s">
        <v>60</v>
      </c>
      <c r="B28" s="18" t="str">
        <f>VLOOKUP($A28,Results!$A$2:$C$436,2,FALSE)</f>
        <v>Ami Bera</v>
      </c>
      <c r="C28" s="19" t="str">
        <f>VLOOKUP($A28,Results!$A$2:$C$436,3,FALSE)</f>
        <v>(D)</v>
      </c>
      <c r="D28" s="23">
        <v>192872.80548882307</v>
      </c>
      <c r="E28" s="23">
        <v>131468.4797078239</v>
      </c>
      <c r="F28" s="23">
        <v>333335.8033068152</v>
      </c>
      <c r="G28" s="24">
        <v>0.5786141289818048</v>
      </c>
      <c r="H28" s="24">
        <v>0.3944025166321999</v>
      </c>
    </row>
    <row r="29">
      <c r="A29" s="17" t="s">
        <v>62</v>
      </c>
      <c r="B29" s="18" t="str">
        <f>VLOOKUP($A29,Results!$A$2:$C$436,2,FALSE)</f>
        <v>Doris Matsui</v>
      </c>
      <c r="C29" s="19" t="str">
        <f>VLOOKUP($A29,Results!$A$2:$C$436,3,FALSE)</f>
        <v>(D)</v>
      </c>
      <c r="D29" s="23">
        <v>228897.28537186867</v>
      </c>
      <c r="E29" s="23">
        <v>102736.72504774154</v>
      </c>
      <c r="F29" s="23">
        <v>339420.37353026506</v>
      </c>
      <c r="G29" s="24">
        <v>0.6743769768182717</v>
      </c>
      <c r="H29" s="24">
        <v>0.3026828471702828</v>
      </c>
    </row>
    <row r="30">
      <c r="A30" s="17" t="s">
        <v>64</v>
      </c>
      <c r="B30" s="18" t="str">
        <f>VLOOKUP($A30,Results!$A$2:$C$436,2,FALSE)</f>
        <v>John Garamendi</v>
      </c>
      <c r="C30" s="19" t="str">
        <f>VLOOKUP($A30,Results!$A$2:$C$436,3,FALSE)</f>
        <v>(D)</v>
      </c>
      <c r="D30" s="23">
        <v>244069.81187089928</v>
      </c>
      <c r="E30" s="23">
        <v>70550.30326633005</v>
      </c>
      <c r="F30" s="23">
        <v>321343.00833484053</v>
      </c>
      <c r="G30" s="24">
        <v>0.7595304877975677</v>
      </c>
      <c r="H30" s="24">
        <v>0.21954827532085713</v>
      </c>
    </row>
    <row r="31">
      <c r="A31" s="17" t="s">
        <v>66</v>
      </c>
      <c r="B31" s="18" t="str">
        <f>VLOOKUP($A31,Results!$A$2:$C$436,2,FALSE)</f>
        <v>Josh Harder</v>
      </c>
      <c r="C31" s="19" t="str">
        <f>VLOOKUP($A31,Results!$A$2:$C$436,3,FALSE)</f>
        <v>(D)</v>
      </c>
      <c r="D31" s="23">
        <v>157640.26093967154</v>
      </c>
      <c r="E31" s="23">
        <v>121641.7431521751</v>
      </c>
      <c r="F31" s="23">
        <v>285396.7640673477</v>
      </c>
      <c r="G31" s="24">
        <v>0.552354759363956</v>
      </c>
      <c r="H31" s="24">
        <v>0.4262197700443099</v>
      </c>
    </row>
    <row r="32">
      <c r="A32" s="17" t="s">
        <v>68</v>
      </c>
      <c r="B32" s="18" t="str">
        <f>VLOOKUP($A32,Results!$A$2:$C$436,2,FALSE)</f>
        <v>Mark DeSaulnier</v>
      </c>
      <c r="C32" s="19" t="str">
        <f>VLOOKUP($A32,Results!$A$2:$C$436,3,FALSE)</f>
        <v>(D)</v>
      </c>
      <c r="D32" s="23">
        <v>280972.6464746636</v>
      </c>
      <c r="E32" s="23">
        <v>119815.00463013326</v>
      </c>
      <c r="F32" s="23">
        <v>409383.329458667</v>
      </c>
      <c r="G32" s="24">
        <v>0.6863314313413724</v>
      </c>
      <c r="H32" s="24">
        <v>0.29267191897766387</v>
      </c>
    </row>
    <row r="33">
      <c r="A33" s="17" t="s">
        <v>70</v>
      </c>
      <c r="B33" s="18" t="str">
        <f>VLOOKUP($A33,Results!$A$2:$C$436,2,FALSE)</f>
        <v>Nancy Pelosi</v>
      </c>
      <c r="C33" s="19" t="str">
        <f>VLOOKUP($A33,Results!$A$2:$C$436,3,FALSE)</f>
        <v>(D)</v>
      </c>
      <c r="D33" s="23">
        <v>339794.6778517486</v>
      </c>
      <c r="E33" s="23">
        <v>46210.40635613756</v>
      </c>
      <c r="F33" s="23">
        <v>393813.8048495157</v>
      </c>
      <c r="G33" s="24">
        <v>0.8628307938102654</v>
      </c>
      <c r="H33" s="24">
        <v>0.11734074780287475</v>
      </c>
    </row>
    <row r="34">
      <c r="A34" s="17" t="s">
        <v>72</v>
      </c>
      <c r="B34" s="18" t="str">
        <f>VLOOKUP($A34,Results!$A$2:$C$436,2,FALSE)</f>
        <v>Barbara Lee</v>
      </c>
      <c r="C34" s="19" t="str">
        <f>VLOOKUP($A34,Results!$A$2:$C$436,3,FALSE)</f>
        <v>(D)</v>
      </c>
      <c r="D34" s="23">
        <v>328829.8746513364</v>
      </c>
      <c r="E34" s="23">
        <v>31733.66866405665</v>
      </c>
      <c r="F34" s="23">
        <v>368205.8566213829</v>
      </c>
      <c r="G34" s="24">
        <v>0.8930598705535099</v>
      </c>
      <c r="H34" s="24">
        <v>0.08618458423024924</v>
      </c>
    </row>
    <row r="35">
      <c r="A35" s="17" t="s">
        <v>74</v>
      </c>
      <c r="B35" s="18" t="str">
        <f>VLOOKUP($A35,Results!$A$2:$C$436,2,FALSE)</f>
        <v>John Duarte</v>
      </c>
      <c r="C35" s="19" t="str">
        <f>VLOOKUP($A35,Results!$A$2:$C$436,3,FALSE)</f>
        <v>(R)</v>
      </c>
      <c r="D35" s="23">
        <v>125260.9671239566</v>
      </c>
      <c r="E35" s="23">
        <v>100222.1355820828</v>
      </c>
      <c r="F35" s="23">
        <v>230706.49619963946</v>
      </c>
      <c r="G35" s="24">
        <v>0.5429451237279566</v>
      </c>
      <c r="H35" s="24">
        <v>0.4344140162197974</v>
      </c>
    </row>
    <row r="36">
      <c r="A36" s="17" t="s">
        <v>76</v>
      </c>
      <c r="B36" s="18" t="str">
        <f>VLOOKUP($A36,Results!$A$2:$C$436,2,FALSE)</f>
        <v>Eric Swalwell</v>
      </c>
      <c r="C36" s="19" t="str">
        <f>VLOOKUP($A36,Results!$A$2:$C$436,3,FALSE)</f>
        <v>(D)</v>
      </c>
      <c r="D36" s="23">
        <v>239561.29345638675</v>
      </c>
      <c r="E36" s="23">
        <v>87625.95903230514</v>
      </c>
      <c r="F36" s="23">
        <v>334247.82983499905</v>
      </c>
      <c r="G36" s="24">
        <v>0.7167175732289596</v>
      </c>
      <c r="H36" s="24">
        <v>0.2621586475985844</v>
      </c>
    </row>
    <row r="37">
      <c r="A37" s="17" t="s">
        <v>78</v>
      </c>
      <c r="B37" s="18" t="str">
        <f>VLOOKUP($A37,Results!$A$2:$C$436,2,FALSE)</f>
        <v>Kevin Mullin</v>
      </c>
      <c r="C37" s="19" t="str">
        <f>VLOOKUP($A37,Results!$A$2:$C$436,3,FALSE)</f>
        <v>(D)</v>
      </c>
      <c r="D37" s="23">
        <v>272883.13876970956</v>
      </c>
      <c r="E37" s="23">
        <v>71551.50719552091</v>
      </c>
      <c r="F37" s="23">
        <v>351078.988231509</v>
      </c>
      <c r="G37" s="24">
        <v>0.7772699247662312</v>
      </c>
      <c r="H37" s="24">
        <v>0.203804584136315</v>
      </c>
    </row>
    <row r="38">
      <c r="A38" s="17" t="s">
        <v>80</v>
      </c>
      <c r="B38" s="18" t="str">
        <f>VLOOKUP($A38,Results!$A$2:$C$436,2,FALSE)</f>
        <v>Anna Eshoo</v>
      </c>
      <c r="C38" s="19" t="str">
        <f>VLOOKUP($A38,Results!$A$2:$C$436,3,FALSE)</f>
        <v>(D)</v>
      </c>
      <c r="D38" s="23">
        <v>288192.5445743358</v>
      </c>
      <c r="E38" s="23">
        <v>85592.80993976361</v>
      </c>
      <c r="F38" s="23">
        <v>382082.04651333427</v>
      </c>
      <c r="G38" s="24">
        <v>0.7542687420260092</v>
      </c>
      <c r="H38" s="24">
        <v>0.22401683282644508</v>
      </c>
    </row>
    <row r="39">
      <c r="A39" s="17" t="s">
        <v>82</v>
      </c>
      <c r="B39" s="18" t="str">
        <f>VLOOKUP($A39,Results!$A$2:$C$436,2,FALSE)</f>
        <v>Ro Khanna</v>
      </c>
      <c r="C39" s="19" t="str">
        <f>VLOOKUP($A39,Results!$A$2:$C$436,3,FALSE)</f>
        <v>(D)</v>
      </c>
      <c r="D39" s="23">
        <v>219541.89855550282</v>
      </c>
      <c r="E39" s="23">
        <v>76380.7680822566</v>
      </c>
      <c r="F39" s="23">
        <v>301898.0915002489</v>
      </c>
      <c r="G39" s="24">
        <v>0.7272053210555716</v>
      </c>
      <c r="H39" s="24">
        <v>0.2530018248962453</v>
      </c>
    </row>
    <row r="40">
      <c r="A40" s="17" t="s">
        <v>84</v>
      </c>
      <c r="B40" s="18" t="str">
        <f>VLOOKUP($A40,Results!$A$2:$C$436,2,FALSE)</f>
        <v>Zoe Lofgren</v>
      </c>
      <c r="C40" s="19" t="str">
        <f>VLOOKUP($A40,Results!$A$2:$C$436,3,FALSE)</f>
        <v>(D)</v>
      </c>
      <c r="D40" s="23">
        <v>190116.91605774916</v>
      </c>
      <c r="E40" s="23">
        <v>72029.18628371992</v>
      </c>
      <c r="F40" s="23">
        <v>267950.74870598374</v>
      </c>
      <c r="G40" s="24">
        <v>0.7095218691340927</v>
      </c>
      <c r="H40" s="24">
        <v>0.2688150215350057</v>
      </c>
    </row>
    <row r="41">
      <c r="A41" s="17" t="s">
        <v>86</v>
      </c>
      <c r="B41" s="18" t="str">
        <f>VLOOKUP($A41,Results!$A$2:$C$436,2,FALSE)</f>
        <v>Jimmy Panetta</v>
      </c>
      <c r="C41" s="19" t="str">
        <f>VLOOKUP($A41,Results!$A$2:$C$436,3,FALSE)</f>
        <v>(D)</v>
      </c>
      <c r="D41" s="23">
        <v>283244.67326342314</v>
      </c>
      <c r="E41" s="23">
        <v>119899.66830519942</v>
      </c>
      <c r="F41" s="23">
        <v>412572.7777594277</v>
      </c>
      <c r="G41" s="24">
        <v>0.6865326277745447</v>
      </c>
      <c r="H41" s="24">
        <v>0.29061458915525745</v>
      </c>
    </row>
    <row r="42">
      <c r="A42" s="17" t="s">
        <v>88</v>
      </c>
      <c r="B42" s="18" t="str">
        <f>VLOOKUP($A42,Results!$A$2:$C$436,2,FALSE)</f>
        <v>Kevin McCarthy</v>
      </c>
      <c r="C42" s="19" t="str">
        <f>VLOOKUP($A42,Results!$A$2:$C$436,3,FALSE)</f>
        <v>(R)</v>
      </c>
      <c r="D42" s="23">
        <v>127496.19134668203</v>
      </c>
      <c r="E42" s="23">
        <v>214492.4885216136</v>
      </c>
      <c r="F42" s="23">
        <v>349862.2033765034</v>
      </c>
      <c r="G42" s="24">
        <v>0.36441830559638155</v>
      </c>
      <c r="H42" s="24">
        <v>0.6130770527697957</v>
      </c>
    </row>
    <row r="43">
      <c r="A43" s="17" t="s">
        <v>90</v>
      </c>
      <c r="B43" s="18" t="str">
        <f>VLOOKUP($A43,Results!$A$2:$C$436,2,FALSE)</f>
        <v>Jim Costa</v>
      </c>
      <c r="C43" s="19" t="str">
        <f>VLOOKUP($A43,Results!$A$2:$C$436,3,FALSE)</f>
        <v>(D)</v>
      </c>
      <c r="D43" s="23">
        <v>133827.45737041073</v>
      </c>
      <c r="E43" s="23">
        <v>87856.20373964576</v>
      </c>
      <c r="F43" s="23">
        <v>226361.51216748467</v>
      </c>
      <c r="G43" s="24">
        <v>0.5912111828948727</v>
      </c>
      <c r="H43" s="24">
        <v>0.38812341770645636</v>
      </c>
    </row>
    <row r="44">
      <c r="A44" s="17" t="s">
        <v>92</v>
      </c>
      <c r="B44" s="18" t="str">
        <f>VLOOKUP($A44,Results!$A$2:$C$436,2,FALSE)</f>
        <v>David Valadao</v>
      </c>
      <c r="C44" s="19" t="str">
        <f>VLOOKUP($A44,Results!$A$2:$C$436,3,FALSE)</f>
        <v>(R)</v>
      </c>
      <c r="D44" s="23">
        <v>103962.78914608392</v>
      </c>
      <c r="E44" s="23">
        <v>79681.48720159761</v>
      </c>
      <c r="F44" s="23">
        <v>188154.53217727444</v>
      </c>
      <c r="G44" s="24">
        <v>0.5525393831498717</v>
      </c>
      <c r="H44" s="24">
        <v>0.42348959804233544</v>
      </c>
    </row>
    <row r="45">
      <c r="A45" s="17" t="s">
        <v>94</v>
      </c>
      <c r="B45" s="18" t="str">
        <f>VLOOKUP($A45,Results!$A$2:$C$436,2,FALSE)</f>
        <v>Jay Obernolte</v>
      </c>
      <c r="C45" s="19" t="str">
        <f>VLOOKUP($A45,Results!$A$2:$C$436,3,FALSE)</f>
        <v>(R)</v>
      </c>
      <c r="D45" s="23">
        <v>130953.1707633125</v>
      </c>
      <c r="E45" s="23">
        <v>160218.183307962</v>
      </c>
      <c r="F45" s="23">
        <v>298345.64766332257</v>
      </c>
      <c r="G45" s="24">
        <v>0.4389310579489019</v>
      </c>
      <c r="H45" s="24">
        <v>0.5370220231560582</v>
      </c>
    </row>
    <row r="46">
      <c r="A46" s="17" t="s">
        <v>96</v>
      </c>
      <c r="B46" s="18" t="str">
        <f>VLOOKUP($A46,Results!$A$2:$C$436,2,FALSE)</f>
        <v>Salud Carbajal</v>
      </c>
      <c r="C46" s="19" t="str">
        <f>VLOOKUP($A46,Results!$A$2:$C$436,3,FALSE)</f>
        <v>(D)</v>
      </c>
      <c r="D46" s="23">
        <v>240343.63465522166</v>
      </c>
      <c r="E46" s="23">
        <v>130117.1195743433</v>
      </c>
      <c r="F46" s="23">
        <v>379417.5696349514</v>
      </c>
      <c r="G46" s="24">
        <v>0.6334541515472338</v>
      </c>
      <c r="H46" s="24">
        <v>0.34293909926082955</v>
      </c>
    </row>
    <row r="47">
      <c r="A47" s="17" t="s">
        <v>98</v>
      </c>
      <c r="B47" s="18" t="str">
        <f>VLOOKUP($A47,Results!$A$2:$C$436,2,FALSE)</f>
        <v>Raul Ruiz</v>
      </c>
      <c r="C47" s="19" t="str">
        <f>VLOOKUP($A47,Results!$A$2:$C$436,3,FALSE)</f>
        <v>(D)</v>
      </c>
      <c r="D47" s="23">
        <v>150324.0994836148</v>
      </c>
      <c r="E47" s="23">
        <v>109749.31363936007</v>
      </c>
      <c r="F47" s="23">
        <v>265267.62928235775</v>
      </c>
      <c r="G47" s="24">
        <v>0.5666884417457734</v>
      </c>
      <c r="H47" s="24">
        <v>0.4137305178783803</v>
      </c>
    </row>
    <row r="48">
      <c r="A48" s="17" t="s">
        <v>100</v>
      </c>
      <c r="B48" s="18" t="str">
        <f>VLOOKUP($A48,Results!$A$2:$C$436,2,FALSE)</f>
        <v>Julia Brownley</v>
      </c>
      <c r="C48" s="19" t="str">
        <f>VLOOKUP($A48,Results!$A$2:$C$436,3,FALSE)</f>
        <v>(D)</v>
      </c>
      <c r="D48" s="23">
        <v>222994.4232568113</v>
      </c>
      <c r="E48" s="23">
        <v>147421.92408145647</v>
      </c>
      <c r="F48" s="23">
        <v>378303.115227328</v>
      </c>
      <c r="G48" s="24">
        <v>0.5894596535976465</v>
      </c>
      <c r="H48" s="24">
        <v>0.38969259873228496</v>
      </c>
    </row>
    <row r="49">
      <c r="A49" s="17" t="s">
        <v>102</v>
      </c>
      <c r="B49" s="18" t="str">
        <f>VLOOKUP($A49,Results!$A$2:$C$436,2,FALSE)</f>
        <v>Mike Garcia</v>
      </c>
      <c r="C49" s="19" t="str">
        <f>VLOOKUP($A49,Results!$A$2:$C$436,3,FALSE)</f>
        <v>(R)</v>
      </c>
      <c r="D49" s="23">
        <v>188108.0279996136</v>
      </c>
      <c r="E49" s="23">
        <v>145889.52298250547</v>
      </c>
      <c r="F49" s="23">
        <v>341466.94111344183</v>
      </c>
      <c r="G49" s="24">
        <v>0.5508821070240019</v>
      </c>
      <c r="H49" s="24">
        <v>0.4272434763576079</v>
      </c>
    </row>
    <row r="50">
      <c r="A50" s="17" t="s">
        <v>104</v>
      </c>
      <c r="B50" s="18" t="str">
        <f>VLOOKUP($A50,Results!$A$2:$C$436,2,FALSE)</f>
        <v>Judy Chu</v>
      </c>
      <c r="C50" s="19" t="str">
        <f>VLOOKUP($A50,Results!$A$2:$C$436,3,FALSE)</f>
        <v>(D)</v>
      </c>
      <c r="D50" s="23">
        <v>242549.0203755634</v>
      </c>
      <c r="E50" s="23">
        <v>117110.52563632696</v>
      </c>
      <c r="F50" s="23">
        <v>366847.2358088506</v>
      </c>
      <c r="G50" s="24">
        <v>0.6611717268109552</v>
      </c>
      <c r="H50" s="24">
        <v>0.3192351316975673</v>
      </c>
    </row>
    <row r="51">
      <c r="A51" s="17" t="s">
        <v>106</v>
      </c>
      <c r="B51" s="18" t="str">
        <f>VLOOKUP($A51,Results!$A$2:$C$436,2,FALSE)</f>
        <v>Tony Cárdenas</v>
      </c>
      <c r="C51" s="19" t="str">
        <f>VLOOKUP($A51,Results!$A$2:$C$436,3,FALSE)</f>
        <v>(D)</v>
      </c>
      <c r="D51" s="23">
        <v>204923.61516787214</v>
      </c>
      <c r="E51" s="23">
        <v>63884.782514039834</v>
      </c>
      <c r="F51" s="23">
        <v>274903.478034427</v>
      </c>
      <c r="G51" s="24">
        <v>0.7454384230897542</v>
      </c>
      <c r="H51" s="24">
        <v>0.2323898663298809</v>
      </c>
    </row>
    <row r="52">
      <c r="A52" s="17" t="s">
        <v>108</v>
      </c>
      <c r="B52" s="18" t="str">
        <f>VLOOKUP($A52,Results!$A$2:$C$436,2,FALSE)</f>
        <v>Adam Schiff</v>
      </c>
      <c r="C52" s="19" t="str">
        <f>VLOOKUP($A52,Results!$A$2:$C$436,3,FALSE)</f>
        <v>(D)</v>
      </c>
      <c r="D52" s="23">
        <v>273895.43885464454</v>
      </c>
      <c r="E52" s="23">
        <v>98575.52599134996</v>
      </c>
      <c r="F52" s="23">
        <v>379373.51520102634</v>
      </c>
      <c r="G52" s="24">
        <v>0.7219677386005979</v>
      </c>
      <c r="H52" s="24">
        <v>0.2598376587757207</v>
      </c>
    </row>
    <row r="53">
      <c r="A53" s="17" t="s">
        <v>110</v>
      </c>
      <c r="B53" s="18" t="str">
        <f>VLOOKUP($A53,Results!$A$2:$C$436,2,FALSE)</f>
        <v>Grace Napolitano</v>
      </c>
      <c r="C53" s="19" t="str">
        <f>VLOOKUP($A53,Results!$A$2:$C$436,3,FALSE)</f>
        <v>(D)</v>
      </c>
      <c r="D53" s="23">
        <v>198028.13875996857</v>
      </c>
      <c r="E53" s="23">
        <v>102679.08230781685</v>
      </c>
      <c r="F53" s="23">
        <v>307073.0341576843</v>
      </c>
      <c r="G53" s="24">
        <v>0.6448893804796928</v>
      </c>
      <c r="H53" s="24">
        <v>0.334380003732566</v>
      </c>
    </row>
    <row r="54">
      <c r="A54" s="17" t="s">
        <v>112</v>
      </c>
      <c r="B54" s="18" t="str">
        <f>VLOOKUP($A54,Results!$A$2:$C$436,2,FALSE)</f>
        <v>Brad Sherman</v>
      </c>
      <c r="C54" s="19" t="str">
        <f>VLOOKUP($A54,Results!$A$2:$C$436,3,FALSE)</f>
        <v>(D)</v>
      </c>
      <c r="D54" s="23">
        <v>271208.83769191307</v>
      </c>
      <c r="E54" s="23">
        <v>112043.62389249055</v>
      </c>
      <c r="F54" s="23">
        <v>390331.81924681325</v>
      </c>
      <c r="G54" s="24">
        <v>0.6948161136728217</v>
      </c>
      <c r="H54" s="24">
        <v>0.28704711829204865</v>
      </c>
    </row>
    <row r="55">
      <c r="A55" s="17" t="s">
        <v>114</v>
      </c>
      <c r="B55" s="18" t="str">
        <f>VLOOKUP($A55,Results!$A$2:$C$436,2,FALSE)</f>
        <v>Pete Aguilar</v>
      </c>
      <c r="C55" s="19" t="str">
        <f>VLOOKUP($A55,Results!$A$2:$C$436,3,FALSE)</f>
        <v>(D)</v>
      </c>
      <c r="D55" s="23">
        <v>168265.84750411144</v>
      </c>
      <c r="E55" s="23">
        <v>99017.34314112597</v>
      </c>
      <c r="F55" s="23">
        <v>273477.56502066966</v>
      </c>
      <c r="G55" s="24">
        <v>0.6152820890130193</v>
      </c>
      <c r="H55" s="24">
        <v>0.36206751780038027</v>
      </c>
    </row>
    <row r="56">
      <c r="A56" s="17" t="s">
        <v>116</v>
      </c>
      <c r="B56" s="18" t="str">
        <f>VLOOKUP($A56,Results!$A$2:$C$436,2,FALSE)</f>
        <v>Jimmy Gomez</v>
      </c>
      <c r="C56" s="19" t="str">
        <f>VLOOKUP($A56,Results!$A$2:$C$436,3,FALSE)</f>
        <v>(D)</v>
      </c>
      <c r="D56" s="23">
        <v>205043.12812624397</v>
      </c>
      <c r="E56" s="23">
        <v>42308.7853292744</v>
      </c>
      <c r="F56" s="23">
        <v>253290.12890094845</v>
      </c>
      <c r="G56" s="24">
        <v>0.8095188273461223</v>
      </c>
      <c r="H56" s="24">
        <v>0.16703685024306517</v>
      </c>
    </row>
    <row r="57">
      <c r="A57" s="17" t="s">
        <v>118</v>
      </c>
      <c r="B57" s="18" t="str">
        <f>VLOOKUP($A57,Results!$A$2:$C$436,2,FALSE)</f>
        <v>Norma Torres</v>
      </c>
      <c r="C57" s="19" t="str">
        <f>VLOOKUP($A57,Results!$A$2:$C$436,3,FALSE)</f>
        <v>(D)</v>
      </c>
      <c r="D57" s="23">
        <v>173587.68126225105</v>
      </c>
      <c r="E57" s="23">
        <v>97137.57523096385</v>
      </c>
      <c r="F57" s="23">
        <v>276740.88962768624</v>
      </c>
      <c r="G57" s="24">
        <v>0.6272570760894333</v>
      </c>
      <c r="H57" s="24">
        <v>0.3510055032404067</v>
      </c>
    </row>
    <row r="58">
      <c r="A58" s="17" t="s">
        <v>120</v>
      </c>
      <c r="B58" s="18" t="str">
        <f>VLOOKUP($A58,Results!$A$2:$C$436,2,FALSE)</f>
        <v>Ted Lieu</v>
      </c>
      <c r="C58" s="19" t="str">
        <f>VLOOKUP($A58,Results!$A$2:$C$436,3,FALSE)</f>
        <v>(D)</v>
      </c>
      <c r="D58" s="23">
        <v>299046.07474527863</v>
      </c>
      <c r="E58" s="23">
        <v>113322.804720475</v>
      </c>
      <c r="F58" s="23">
        <v>421107.5706256205</v>
      </c>
      <c r="G58" s="24">
        <v>0.710141768054655</v>
      </c>
      <c r="H58" s="24">
        <v>0.26910654812526036</v>
      </c>
    </row>
    <row r="59">
      <c r="A59" s="17" t="s">
        <v>122</v>
      </c>
      <c r="B59" s="18" t="str">
        <f>VLOOKUP($A59,Results!$A$2:$C$436,2,FALSE)</f>
        <v>Sydney Kamlager-Dove</v>
      </c>
      <c r="C59" s="19" t="str">
        <f>VLOOKUP($A59,Results!$A$2:$C$436,3,FALSE)</f>
        <v>(D)</v>
      </c>
      <c r="D59" s="23">
        <v>239813.54615201903</v>
      </c>
      <c r="E59" s="23">
        <v>34760.23616958014</v>
      </c>
      <c r="F59" s="23">
        <v>279846.0540495702</v>
      </c>
      <c r="G59" s="24">
        <v>0.8569481065812704</v>
      </c>
      <c r="H59" s="24">
        <v>0.1242119932247568</v>
      </c>
    </row>
    <row r="60">
      <c r="A60" s="17" t="s">
        <v>124</v>
      </c>
      <c r="B60" s="18" t="str">
        <f>VLOOKUP($A60,Results!$A$2:$C$436,2,FALSE)</f>
        <v>Linda Sánchez</v>
      </c>
      <c r="C60" s="19" t="str">
        <f>VLOOKUP($A60,Results!$A$2:$C$436,3,FALSE)</f>
        <v>(D)</v>
      </c>
      <c r="D60" s="23">
        <v>217122.29668024366</v>
      </c>
      <c r="E60" s="23">
        <v>114835.9815703429</v>
      </c>
      <c r="F60" s="23">
        <v>338870.3945916801</v>
      </c>
      <c r="G60" s="24">
        <v>0.6407237107327239</v>
      </c>
      <c r="H60" s="24">
        <v>0.33887876723109395</v>
      </c>
    </row>
    <row r="61">
      <c r="A61" s="17" t="s">
        <v>126</v>
      </c>
      <c r="B61" s="18" t="str">
        <f>VLOOKUP($A61,Results!$A$2:$C$436,2,FALSE)</f>
        <v>Mark Takano</v>
      </c>
      <c r="C61" s="19" t="str">
        <f>VLOOKUP($A61,Results!$A$2:$C$436,3,FALSE)</f>
        <v>(D)</v>
      </c>
      <c r="D61" s="23">
        <v>165290.95199274045</v>
      </c>
      <c r="E61" s="23">
        <v>95616.27295706578</v>
      </c>
      <c r="F61" s="23">
        <v>266730.37694399577</v>
      </c>
      <c r="G61" s="24">
        <v>0.6196930169204008</v>
      </c>
      <c r="H61" s="24">
        <v>0.3584753789672105</v>
      </c>
    </row>
    <row r="62">
      <c r="A62" s="17" t="s">
        <v>128</v>
      </c>
      <c r="B62" s="18" t="str">
        <f>VLOOKUP($A62,Results!$A$2:$C$436,2,FALSE)</f>
        <v>Young Kim</v>
      </c>
      <c r="C62" s="19" t="str">
        <f>VLOOKUP($A62,Results!$A$2:$C$436,3,FALSE)</f>
        <v>(R)</v>
      </c>
      <c r="D62" s="23">
        <v>212168.5166997134</v>
      </c>
      <c r="E62" s="23">
        <v>204202.72034933206</v>
      </c>
      <c r="F62" s="23">
        <v>424991.51832725207</v>
      </c>
      <c r="G62" s="24">
        <v>0.49923000236522214</v>
      </c>
      <c r="H62" s="24">
        <v>0.4804865780688165</v>
      </c>
    </row>
    <row r="63">
      <c r="A63" s="17" t="s">
        <v>130</v>
      </c>
      <c r="B63" s="18" t="str">
        <f>VLOOKUP($A63,Results!$A$2:$C$436,2,FALSE)</f>
        <v>Ken Calvert</v>
      </c>
      <c r="C63" s="19" t="str">
        <f>VLOOKUP($A63,Results!$A$2:$C$436,3,FALSE)</f>
        <v>(R)</v>
      </c>
      <c r="D63" s="23">
        <v>178995.20412869746</v>
      </c>
      <c r="E63" s="23">
        <v>182973.1190976236</v>
      </c>
      <c r="F63" s="23">
        <v>368473.6508329254</v>
      </c>
      <c r="G63" s="24">
        <v>0.48577477310544</v>
      </c>
      <c r="H63" s="24">
        <v>0.49657042961964165</v>
      </c>
    </row>
    <row r="64">
      <c r="A64" s="17" t="s">
        <v>132</v>
      </c>
      <c r="B64" s="18" t="str">
        <f>VLOOKUP($A64,Results!$A$2:$C$436,2,FALSE)</f>
        <v>Robert Garcia</v>
      </c>
      <c r="C64" s="19" t="str">
        <f>VLOOKUP($A64,Results!$A$2:$C$436,3,FALSE)</f>
        <v>(D)</v>
      </c>
      <c r="D64" s="23">
        <v>207749.7720614178</v>
      </c>
      <c r="E64" s="23">
        <v>74997.52913389844</v>
      </c>
      <c r="F64" s="23">
        <v>289668.90812399756</v>
      </c>
      <c r="G64" s="24">
        <v>0.7171973457796412</v>
      </c>
      <c r="H64" s="24">
        <v>0.25890776341724087</v>
      </c>
    </row>
    <row r="65">
      <c r="A65" s="17" t="s">
        <v>134</v>
      </c>
      <c r="B65" s="18" t="str">
        <f>VLOOKUP($A65,Results!$A$2:$C$436,2,FALSE)</f>
        <v>Maxine Waters</v>
      </c>
      <c r="C65" s="19" t="str">
        <f>VLOOKUP($A65,Results!$A$2:$C$436,3,FALSE)</f>
        <v>(D)</v>
      </c>
      <c r="D65" s="23">
        <v>218763.64894952517</v>
      </c>
      <c r="E65" s="23">
        <v>46043.25023869443</v>
      </c>
      <c r="F65" s="23">
        <v>270782.45129748475</v>
      </c>
      <c r="G65" s="24">
        <v>0.8078944846731921</v>
      </c>
      <c r="H65" s="24">
        <v>0.1700377923978197</v>
      </c>
    </row>
    <row r="66">
      <c r="A66" s="17" t="s">
        <v>136</v>
      </c>
      <c r="B66" s="18" t="str">
        <f>VLOOKUP($A66,Results!$A$2:$C$436,2,FALSE)</f>
        <v>Nanette Barragán</v>
      </c>
      <c r="C66" s="19" t="str">
        <f>VLOOKUP($A66,Results!$A$2:$C$436,3,FALSE)</f>
        <v>(D)</v>
      </c>
      <c r="D66" s="23">
        <v>213507.44731958146</v>
      </c>
      <c r="E66" s="23">
        <v>72412.90022651372</v>
      </c>
      <c r="F66" s="23">
        <v>292791.20062167716</v>
      </c>
      <c r="G66" s="24">
        <v>0.7292140162212722</v>
      </c>
      <c r="H66" s="24">
        <v>0.24731925028061294</v>
      </c>
    </row>
    <row r="67">
      <c r="A67" s="17" t="s">
        <v>138</v>
      </c>
      <c r="B67" s="18" t="str">
        <f>VLOOKUP($A67,Results!$A$2:$C$436,2,FALSE)</f>
        <v>Michelle Steel</v>
      </c>
      <c r="C67" s="19" t="str">
        <f>VLOOKUP($A67,Results!$A$2:$C$436,3,FALSE)</f>
        <v>(R)</v>
      </c>
      <c r="D67" s="23">
        <v>186195.91171433125</v>
      </c>
      <c r="E67" s="23">
        <v>164110.69634480853</v>
      </c>
      <c r="F67" s="23">
        <v>357137.27325815003</v>
      </c>
      <c r="G67" s="24">
        <v>0.5213567041481638</v>
      </c>
      <c r="H67" s="24">
        <v>0.4595171342594201</v>
      </c>
    </row>
    <row r="68">
      <c r="A68" s="17" t="s">
        <v>140</v>
      </c>
      <c r="B68" s="18" t="str">
        <f>VLOOKUP($A68,Results!$A$2:$C$436,2,FALSE)</f>
        <v>Lou Correa</v>
      </c>
      <c r="C68" s="19" t="str">
        <f>VLOOKUP($A68,Results!$A$2:$C$436,3,FALSE)</f>
        <v>(D)</v>
      </c>
      <c r="D68" s="23">
        <v>162578.53876833146</v>
      </c>
      <c r="E68" s="23">
        <v>85483.26677278221</v>
      </c>
      <c r="F68" s="23">
        <v>253538.33064907655</v>
      </c>
      <c r="G68" s="24">
        <v>0.6412384997255389</v>
      </c>
      <c r="H68" s="24">
        <v>0.3371611170348043</v>
      </c>
    </row>
    <row r="69">
      <c r="A69" s="17" t="s">
        <v>142</v>
      </c>
      <c r="B69" s="18" t="str">
        <f>VLOOKUP($A69,Results!$A$2:$C$436,2,FALSE)</f>
        <v>Katie Porter</v>
      </c>
      <c r="C69" s="19" t="str">
        <f>VLOOKUP($A69,Results!$A$2:$C$436,3,FALSE)</f>
        <v>(D)</v>
      </c>
      <c r="D69" s="23">
        <v>212948.00141223875</v>
      </c>
      <c r="E69" s="23">
        <v>169640.55552479945</v>
      </c>
      <c r="F69" s="23">
        <v>390918.3069701979</v>
      </c>
      <c r="G69" s="24">
        <v>0.5447378585635619</v>
      </c>
      <c r="H69" s="24">
        <v>0.43395398092147214</v>
      </c>
    </row>
    <row r="70">
      <c r="A70" s="17" t="s">
        <v>144</v>
      </c>
      <c r="B70" s="18" t="str">
        <f>VLOOKUP($A70,Results!$A$2:$C$436,2,FALSE)</f>
        <v>Darrell Issa</v>
      </c>
      <c r="C70" s="19" t="str">
        <f>VLOOKUP($A70,Results!$A$2:$C$436,3,FALSE)</f>
        <v>(R)</v>
      </c>
      <c r="D70" s="23">
        <v>167285.23876231912</v>
      </c>
      <c r="E70" s="23">
        <v>215540.0940312749</v>
      </c>
      <c r="F70" s="23">
        <v>391615.61195882445</v>
      </c>
      <c r="G70" s="24">
        <v>0.42716693015779955</v>
      </c>
      <c r="H70" s="24">
        <v>0.5503868779724169</v>
      </c>
    </row>
    <row r="71">
      <c r="A71" s="17" t="s">
        <v>146</v>
      </c>
      <c r="B71" s="18" t="str">
        <f>VLOOKUP($A71,Results!$A$2:$C$436,2,FALSE)</f>
        <v>Mike Levin</v>
      </c>
      <c r="C71" s="19" t="str">
        <f>VLOOKUP($A71,Results!$A$2:$C$436,3,FALSE)</f>
        <v>(D)</v>
      </c>
      <c r="D71" s="23">
        <v>221229.99593188934</v>
      </c>
      <c r="E71" s="23">
        <v>174974.75237123482</v>
      </c>
      <c r="F71" s="23">
        <v>405298.277773875</v>
      </c>
      <c r="G71" s="24">
        <v>0.5458448951399654</v>
      </c>
      <c r="H71" s="24">
        <v>0.4317184699927523</v>
      </c>
    </row>
    <row r="72">
      <c r="A72" s="17" t="s">
        <v>148</v>
      </c>
      <c r="B72" s="18" t="str">
        <f>VLOOKUP($A72,Results!$A$2:$C$436,2,FALSE)</f>
        <v>Scott Peters</v>
      </c>
      <c r="C72" s="19" t="str">
        <f>VLOOKUP($A72,Results!$A$2:$C$436,3,FALSE)</f>
        <v>(D)</v>
      </c>
      <c r="D72" s="23">
        <v>262795.39426908677</v>
      </c>
      <c r="E72" s="23">
        <v>129606.1490714934</v>
      </c>
      <c r="F72" s="23">
        <v>401947.3788151176</v>
      </c>
      <c r="G72" s="24">
        <v>0.6538054683769039</v>
      </c>
      <c r="H72" s="24">
        <v>0.3224455635301155</v>
      </c>
    </row>
    <row r="73">
      <c r="A73" s="17" t="s">
        <v>150</v>
      </c>
      <c r="B73" s="18" t="str">
        <f>VLOOKUP($A73,Results!$A$2:$C$436,2,FALSE)</f>
        <v>Sara Jacobs</v>
      </c>
      <c r="C73" s="19" t="str">
        <f>VLOOKUP($A73,Results!$A$2:$C$436,3,FALSE)</f>
        <v>(D)</v>
      </c>
      <c r="D73" s="23">
        <v>231181.72897168182</v>
      </c>
      <c r="E73" s="23">
        <v>130131.91860754172</v>
      </c>
      <c r="F73" s="23">
        <v>370060.18892765715</v>
      </c>
      <c r="G73" s="24">
        <v>0.624713859768567</v>
      </c>
      <c r="H73" s="24">
        <v>0.3516506841350101</v>
      </c>
    </row>
    <row r="74">
      <c r="A74" s="17" t="s">
        <v>152</v>
      </c>
      <c r="B74" s="18" t="str">
        <f>VLOOKUP($A74,Results!$A$2:$C$436,2,FALSE)</f>
        <v>Juan Vargas</v>
      </c>
      <c r="C74" s="19" t="str">
        <f>VLOOKUP($A74,Results!$A$2:$C$436,3,FALSE)</f>
        <v>(D)</v>
      </c>
      <c r="D74" s="23">
        <v>205522.80128004035</v>
      </c>
      <c r="E74" s="23">
        <v>93111.43321840766</v>
      </c>
      <c r="F74" s="23">
        <v>304934.4746888625</v>
      </c>
      <c r="G74" s="24">
        <v>0.6739900481562274</v>
      </c>
      <c r="H74" s="24">
        <v>0.3053489878880149</v>
      </c>
    </row>
    <row r="75">
      <c r="A75" s="17" t="s">
        <v>154</v>
      </c>
      <c r="B75" s="18" t="str">
        <f>VLOOKUP($A75,Results!$A$2:$C$436,2,FALSE)</f>
        <v>Diana DeGette</v>
      </c>
      <c r="C75" s="19" t="str">
        <f>VLOOKUP($A75,Results!$A$2:$C$436,3,FALSE)</f>
        <v>(D)</v>
      </c>
      <c r="D75" s="25">
        <v>315904.06891081715</v>
      </c>
      <c r="E75" s="25">
        <v>72378.76876693586</v>
      </c>
      <c r="F75" s="25">
        <v>397310.181555581</v>
      </c>
      <c r="G75" s="26">
        <v>0.7951069053251139</v>
      </c>
      <c r="H75" s="26">
        <v>0.18217194556543365</v>
      </c>
    </row>
    <row r="76">
      <c r="A76" s="17" t="s">
        <v>156</v>
      </c>
      <c r="B76" s="18" t="str">
        <f>VLOOKUP($A76,Results!$A$2:$C$436,2,FALSE)</f>
        <v>Joe Neguse</v>
      </c>
      <c r="C76" s="19" t="str">
        <f>VLOOKUP($A76,Results!$A$2:$C$436,3,FALSE)</f>
        <v>(D)</v>
      </c>
      <c r="D76" s="25">
        <v>306400.12251224223</v>
      </c>
      <c r="E76" s="25">
        <v>128490.51142128206</v>
      </c>
      <c r="F76" s="25">
        <v>446260.38706632925</v>
      </c>
      <c r="G76" s="26">
        <v>0.6865949373783448</v>
      </c>
      <c r="H76" s="26">
        <v>0.2879272172597835</v>
      </c>
    </row>
    <row r="77">
      <c r="A77" s="17" t="s">
        <v>158</v>
      </c>
      <c r="B77" s="18" t="str">
        <f>VLOOKUP($A77,Results!$A$2:$C$436,2,FALSE)</f>
        <v>Lauren Boebert</v>
      </c>
      <c r="C77" s="19" t="str">
        <f>VLOOKUP($A77,Results!$A$2:$C$436,3,FALSE)</f>
        <v>(R)</v>
      </c>
      <c r="D77" s="25">
        <v>184180.83913659235</v>
      </c>
      <c r="E77" s="25">
        <v>218187.21410799425</v>
      </c>
      <c r="F77" s="25">
        <v>412128.14849138213</v>
      </c>
      <c r="G77" s="26">
        <v>0.44690186732160003</v>
      </c>
      <c r="H77" s="26">
        <v>0.5294159472161283</v>
      </c>
    </row>
    <row r="78">
      <c r="A78" s="17" t="s">
        <v>160</v>
      </c>
      <c r="B78" s="18" t="str">
        <f>VLOOKUP($A78,Results!$A$2:$C$436,2,FALSE)</f>
        <v>Ken Buck</v>
      </c>
      <c r="C78" s="19" t="str">
        <f>VLOOKUP($A78,Results!$A$2:$C$436,3,FALSE)</f>
        <v>(R)</v>
      </c>
      <c r="D78" s="25">
        <v>174552.60798758466</v>
      </c>
      <c r="E78" s="25">
        <v>256585.17927789377</v>
      </c>
      <c r="F78" s="25">
        <v>442183.3564632013</v>
      </c>
      <c r="G78" s="26">
        <v>0.3947516464295305</v>
      </c>
      <c r="H78" s="26">
        <v>0.5802687403935496</v>
      </c>
    </row>
    <row r="79">
      <c r="A79" s="17" t="s">
        <v>162</v>
      </c>
      <c r="B79" s="18" t="str">
        <f>VLOOKUP($A79,Results!$A$2:$C$436,2,FALSE)</f>
        <v>Doug Lamborn</v>
      </c>
      <c r="C79" s="19" t="str">
        <f>VLOOKUP($A79,Results!$A$2:$C$436,3,FALSE)</f>
        <v>(R)</v>
      </c>
      <c r="D79" s="25">
        <v>160880.37846859894</v>
      </c>
      <c r="E79" s="25">
        <v>198613.56370593773</v>
      </c>
      <c r="F79" s="25">
        <v>373407.7831751844</v>
      </c>
      <c r="G79" s="26">
        <v>0.4308436666761224</v>
      </c>
      <c r="H79" s="26">
        <v>0.5318945470741785</v>
      </c>
    </row>
    <row r="80">
      <c r="A80" s="17" t="s">
        <v>164</v>
      </c>
      <c r="B80" s="18" t="str">
        <f>VLOOKUP($A80,Results!$A$2:$C$436,2,FALSE)</f>
        <v>Jason Crow</v>
      </c>
      <c r="C80" s="19" t="str">
        <f>VLOOKUP($A80,Results!$A$2:$C$436,3,FALSE)</f>
        <v>(D)</v>
      </c>
      <c r="D80" s="25">
        <v>232517.45207089023</v>
      </c>
      <c r="E80" s="25">
        <v>141194.63092868967</v>
      </c>
      <c r="F80" s="25">
        <v>383771.1468782635</v>
      </c>
      <c r="G80" s="26">
        <v>0.6058752826059833</v>
      </c>
      <c r="H80" s="26">
        <v>0.36791361747025286</v>
      </c>
    </row>
    <row r="81">
      <c r="A81" s="17" t="s">
        <v>166</v>
      </c>
      <c r="B81" s="18" t="str">
        <f>VLOOKUP($A81,Results!$A$2:$C$436,2,FALSE)</f>
        <v>Brittany Pettersen</v>
      </c>
      <c r="C81" s="19" t="str">
        <f>VLOOKUP($A81,Results!$A$2:$C$436,3,FALSE)</f>
        <v>(D)</v>
      </c>
      <c r="D81" s="25">
        <v>256165.8659110258</v>
      </c>
      <c r="E81" s="25">
        <v>190986.6695525824</v>
      </c>
      <c r="F81" s="25">
        <v>459939.8719410535</v>
      </c>
      <c r="G81" s="26">
        <v>0.5569551185678817</v>
      </c>
      <c r="H81" s="26">
        <v>0.415242689759803</v>
      </c>
    </row>
    <row r="82">
      <c r="A82" s="17" t="s">
        <v>168</v>
      </c>
      <c r="B82" s="18" t="str">
        <f>VLOOKUP($A82,Results!$A$2:$C$436,2,FALSE)</f>
        <v>Yadira Caraveo</v>
      </c>
      <c r="C82" s="19" t="str">
        <f>VLOOKUP($A82,Results!$A$2:$C$436,3,FALSE)</f>
        <v>(D)</v>
      </c>
      <c r="D82" s="25">
        <v>173750.66500224866</v>
      </c>
      <c r="E82" s="25">
        <v>158170.4622386843</v>
      </c>
      <c r="F82" s="25">
        <v>341951.124429005</v>
      </c>
      <c r="G82" s="26">
        <v>0.5081154954304655</v>
      </c>
      <c r="H82" s="26">
        <v>0.46255283559251237</v>
      </c>
    </row>
    <row r="83">
      <c r="A83" s="17" t="s">
        <v>170</v>
      </c>
      <c r="B83" s="18" t="str">
        <f>VLOOKUP($A83,Results!$A$2:$C$436,2,FALSE)</f>
        <v>John Larson</v>
      </c>
      <c r="C83" s="19" t="str">
        <f>VLOOKUP($A83,Results!$A$2:$C$436,3,FALSE)</f>
        <v>(D)</v>
      </c>
      <c r="D83" s="23">
        <v>227829.99600426736</v>
      </c>
      <c r="E83" s="23">
        <v>126759.46593583867</v>
      </c>
      <c r="F83" s="23">
        <v>359895.3592432242</v>
      </c>
      <c r="G83" s="24">
        <v>0.6330451064535553</v>
      </c>
      <c r="H83" s="24">
        <v>0.3522120046293017</v>
      </c>
    </row>
    <row r="84">
      <c r="A84" s="17" t="s">
        <v>172</v>
      </c>
      <c r="B84" s="18" t="str">
        <f>VLOOKUP($A84,Results!$A$2:$C$436,2,FALSE)</f>
        <v>Joe Courtney</v>
      </c>
      <c r="C84" s="19" t="str">
        <f>VLOOKUP($A84,Results!$A$2:$C$436,3,FALSE)</f>
        <v>(D)</v>
      </c>
      <c r="D84" s="23">
        <v>214157.81490816263</v>
      </c>
      <c r="E84" s="23">
        <v>169365.61715153325</v>
      </c>
      <c r="F84" s="23">
        <v>391348.43472095224</v>
      </c>
      <c r="G84" s="24">
        <v>0.54723053909968</v>
      </c>
      <c r="H84" s="24">
        <v>0.43277448464128393</v>
      </c>
    </row>
    <row r="85">
      <c r="A85" s="17" t="s">
        <v>174</v>
      </c>
      <c r="B85" s="18" t="str">
        <f>VLOOKUP($A85,Results!$A$2:$C$436,2,FALSE)</f>
        <v>Rosa DeLauro</v>
      </c>
      <c r="C85" s="19" t="str">
        <f>VLOOKUP($A85,Results!$A$2:$C$436,3,FALSE)</f>
        <v>(D)</v>
      </c>
      <c r="D85" s="23">
        <v>213121.8543467142</v>
      </c>
      <c r="E85" s="23">
        <v>142173.76219694104</v>
      </c>
      <c r="F85" s="23">
        <v>359819.6302224575</v>
      </c>
      <c r="G85" s="24">
        <v>0.592301910306984</v>
      </c>
      <c r="H85" s="24">
        <v>0.3951250856131515</v>
      </c>
    </row>
    <row r="86">
      <c r="A86" s="17" t="s">
        <v>176</v>
      </c>
      <c r="B86" s="18" t="str">
        <f>VLOOKUP($A86,Results!$A$2:$C$436,2,FALSE)</f>
        <v>Jim Himes</v>
      </c>
      <c r="C86" s="19" t="str">
        <f>VLOOKUP($A86,Results!$A$2:$C$436,3,FALSE)</f>
        <v>(D)</v>
      </c>
      <c r="D86" s="23">
        <v>230410.5820109893</v>
      </c>
      <c r="E86" s="23">
        <v>120230.26552868658</v>
      </c>
      <c r="F86" s="23">
        <v>355455.610030216</v>
      </c>
      <c r="G86" s="24">
        <v>0.6482119722105467</v>
      </c>
      <c r="H86" s="24">
        <v>0.338242700736855</v>
      </c>
    </row>
    <row r="87">
      <c r="A87" s="17" t="s">
        <v>178</v>
      </c>
      <c r="B87" s="18" t="str">
        <f>VLOOKUP($A87,Results!$A$2:$C$436,2,FALSE)</f>
        <v>Jahana Hayes</v>
      </c>
      <c r="C87" s="19" t="str">
        <f>VLOOKUP($A87,Results!$A$2:$C$436,3,FALSE)</f>
        <v>(D)</v>
      </c>
      <c r="D87" s="23">
        <v>195159.7527298665</v>
      </c>
      <c r="E87" s="23">
        <v>156761.88918700046</v>
      </c>
      <c r="F87" s="23">
        <v>357216.9657831501</v>
      </c>
      <c r="G87" s="24">
        <v>0.5463339410601762</v>
      </c>
      <c r="H87" s="24">
        <v>0.4388422281212795</v>
      </c>
    </row>
    <row r="88">
      <c r="A88" s="17" t="s">
        <v>180</v>
      </c>
      <c r="B88" s="18" t="str">
        <f>VLOOKUP($A88,Results!$A$2:$C$436,2,FALSE)</f>
        <v>Lisa Blunt Rochester</v>
      </c>
      <c r="C88" s="19" t="str">
        <f>VLOOKUP($A88,Results!$A$2:$C$436,3,FALSE)</f>
        <v>(D)</v>
      </c>
      <c r="D88" s="20">
        <v>296268.0</v>
      </c>
      <c r="E88" s="21">
        <v>200603.0</v>
      </c>
      <c r="F88" s="21">
        <v>504010.0</v>
      </c>
      <c r="G88" s="22">
        <v>0.5878216702049562</v>
      </c>
      <c r="H88" s="22">
        <v>0.39801392829507354</v>
      </c>
    </row>
    <row r="89">
      <c r="A89" s="17" t="s">
        <v>182</v>
      </c>
      <c r="B89" s="18" t="str">
        <f>VLOOKUP($A89,Results!$A$2:$C$436,2,FALSE)</f>
        <v>Matt Gaetz</v>
      </c>
      <c r="C89" s="19" t="str">
        <f>VLOOKUP($A89,Results!$A$2:$C$436,3,FALSE)</f>
        <v>(R)</v>
      </c>
      <c r="D89" s="23">
        <v>139193.60736059156</v>
      </c>
      <c r="E89" s="23">
        <v>275547.08922174614</v>
      </c>
      <c r="F89" s="23">
        <v>421983.3503105368</v>
      </c>
      <c r="G89" s="24">
        <v>0.32985568567612733</v>
      </c>
      <c r="H89" s="24">
        <v>0.65298095059668</v>
      </c>
    </row>
    <row r="90">
      <c r="A90" s="17" t="s">
        <v>184</v>
      </c>
      <c r="B90" s="18" t="str">
        <f>VLOOKUP($A90,Results!$A$2:$C$436,2,FALSE)</f>
        <v>Neal Dunn</v>
      </c>
      <c r="C90" s="19" t="str">
        <f>VLOOKUP($A90,Results!$A$2:$C$436,3,FALSE)</f>
        <v>(R)</v>
      </c>
      <c r="D90" s="23">
        <v>180607.39545404454</v>
      </c>
      <c r="E90" s="23">
        <v>225756.89630298247</v>
      </c>
      <c r="F90" s="23">
        <v>410746.33565649175</v>
      </c>
      <c r="G90" s="24">
        <v>0.4397054331973079</v>
      </c>
      <c r="H90" s="24">
        <v>0.5496260750376689</v>
      </c>
    </row>
    <row r="91">
      <c r="A91" s="17" t="s">
        <v>186</v>
      </c>
      <c r="B91" s="18" t="str">
        <f>VLOOKUP($A91,Results!$A$2:$C$436,2,FALSE)</f>
        <v>Kat Cammack</v>
      </c>
      <c r="C91" s="19" t="str">
        <f>VLOOKUP($A91,Results!$A$2:$C$436,3,FALSE)</f>
        <v>(R)</v>
      </c>
      <c r="D91" s="23">
        <v>166686.51524951967</v>
      </c>
      <c r="E91" s="23">
        <v>222031.51328071603</v>
      </c>
      <c r="F91" s="23">
        <v>392679.857829048</v>
      </c>
      <c r="G91" s="24">
        <v>0.4244845054468929</v>
      </c>
      <c r="H91" s="24">
        <v>0.5654262851887268</v>
      </c>
    </row>
    <row r="92">
      <c r="A92" s="17" t="s">
        <v>188</v>
      </c>
      <c r="B92" s="18" t="str">
        <f>VLOOKUP($A92,Results!$A$2:$C$436,2,FALSE)</f>
        <v>Aaron Bean</v>
      </c>
      <c r="C92" s="19" t="str">
        <f>VLOOKUP($A92,Results!$A$2:$C$436,3,FALSE)</f>
        <v>(R)</v>
      </c>
      <c r="D92" s="23">
        <v>184151.90023369313</v>
      </c>
      <c r="E92" s="23">
        <v>210911.35576333653</v>
      </c>
      <c r="F92" s="23">
        <v>400003.86282447766</v>
      </c>
      <c r="G92" s="24">
        <v>0.4603753047117429</v>
      </c>
      <c r="H92" s="24">
        <v>0.5272732974978414</v>
      </c>
    </row>
    <row r="93">
      <c r="A93" s="17" t="s">
        <v>190</v>
      </c>
      <c r="B93" s="18" t="str">
        <f>VLOOKUP($A93,Results!$A$2:$C$436,2,FALSE)</f>
        <v>John Rutherford</v>
      </c>
      <c r="C93" s="19" t="str">
        <f>VLOOKUP($A93,Results!$A$2:$C$436,3,FALSE)</f>
        <v>(R)</v>
      </c>
      <c r="D93" s="23">
        <v>176902.91365989216</v>
      </c>
      <c r="E93" s="23">
        <v>244278.28979496704</v>
      </c>
      <c r="F93" s="23">
        <v>426534.2126249594</v>
      </c>
      <c r="G93" s="24">
        <v>0.4147449569665314</v>
      </c>
      <c r="H93" s="24">
        <v>0.5727050317760903</v>
      </c>
    </row>
    <row r="94">
      <c r="A94" s="17" t="s">
        <v>192</v>
      </c>
      <c r="B94" s="18" t="str">
        <f>VLOOKUP($A94,Results!$A$2:$C$436,2,FALSE)</f>
        <v>Mike Waltz</v>
      </c>
      <c r="C94" s="19" t="str">
        <f>VLOOKUP($A94,Results!$A$2:$C$436,3,FALSE)</f>
        <v>(R)</v>
      </c>
      <c r="D94" s="23">
        <v>160979.78984975908</v>
      </c>
      <c r="E94" s="23">
        <v>262017.54823805863</v>
      </c>
      <c r="F94" s="23">
        <v>426794.0943866558</v>
      </c>
      <c r="G94" s="24">
        <v>0.3771837332498767</v>
      </c>
      <c r="H94" s="24">
        <v>0.6139202760399088</v>
      </c>
    </row>
    <row r="95">
      <c r="A95" s="17" t="s">
        <v>194</v>
      </c>
      <c r="B95" s="18" t="str">
        <f>VLOOKUP($A95,Results!$A$2:$C$436,2,FALSE)</f>
        <v>Cory Mills</v>
      </c>
      <c r="C95" s="19" t="str">
        <f>VLOOKUP($A95,Results!$A$2:$C$436,3,FALSE)</f>
        <v>(R)</v>
      </c>
      <c r="D95" s="23">
        <v>202048.76802631683</v>
      </c>
      <c r="E95" s="23">
        <v>226044.4150693369</v>
      </c>
      <c r="F95" s="23">
        <v>432716.0571149272</v>
      </c>
      <c r="G95" s="24">
        <v>0.4669315240424593</v>
      </c>
      <c r="H95" s="24">
        <v>0.5223850868314337</v>
      </c>
    </row>
    <row r="96">
      <c r="A96" s="17" t="s">
        <v>196</v>
      </c>
      <c r="B96" s="18" t="str">
        <f>VLOOKUP($A96,Results!$A$2:$C$436,2,FALSE)</f>
        <v>Bill Posey</v>
      </c>
      <c r="C96" s="19" t="str">
        <f>VLOOKUP($A96,Results!$A$2:$C$436,3,FALSE)</f>
        <v>(R)</v>
      </c>
      <c r="D96" s="23">
        <v>186757.6409932394</v>
      </c>
      <c r="E96" s="23">
        <v>267848.8394062835</v>
      </c>
      <c r="F96" s="23">
        <v>459669.9354648628</v>
      </c>
      <c r="G96" s="24">
        <v>0.4062863950507704</v>
      </c>
      <c r="H96" s="24">
        <v>0.5826981900293496</v>
      </c>
    </row>
    <row r="97">
      <c r="A97" s="17" t="s">
        <v>198</v>
      </c>
      <c r="B97" s="18" t="str">
        <f>VLOOKUP($A97,Results!$A$2:$C$436,2,FALSE)</f>
        <v>Darren Soto</v>
      </c>
      <c r="C97" s="19" t="str">
        <f>VLOOKUP($A97,Results!$A$2:$C$436,3,FALSE)</f>
        <v>(D)</v>
      </c>
      <c r="D97" s="23">
        <v>198450.58140376673</v>
      </c>
      <c r="E97" s="23">
        <v>139042.75489236973</v>
      </c>
      <c r="F97" s="23">
        <v>340751.6245943599</v>
      </c>
      <c r="G97" s="24">
        <v>0.5823907124140868</v>
      </c>
      <c r="H97" s="24">
        <v>0.4080472251831229</v>
      </c>
    </row>
    <row r="98">
      <c r="A98" s="17" t="s">
        <v>200</v>
      </c>
      <c r="B98" s="18" t="str">
        <f>VLOOKUP($A98,Results!$A$2:$C$436,2,FALSE)</f>
        <v>Maxwell Frost</v>
      </c>
      <c r="C98" s="19" t="str">
        <f>VLOOKUP($A98,Results!$A$2:$C$436,3,FALSE)</f>
        <v>(D)</v>
      </c>
      <c r="D98" s="23">
        <v>218958.11061071407</v>
      </c>
      <c r="E98" s="23">
        <v>112414.46011955156</v>
      </c>
      <c r="F98" s="23">
        <v>335201.28816809785</v>
      </c>
      <c r="G98" s="24">
        <v>0.6532138101477409</v>
      </c>
      <c r="H98" s="24">
        <v>0.33536404568701295</v>
      </c>
    </row>
    <row r="99">
      <c r="A99" s="17" t="s">
        <v>202</v>
      </c>
      <c r="B99" s="18" t="str">
        <f>VLOOKUP($A99,Results!$A$2:$C$436,2,FALSE)</f>
        <v>Daniel Webster</v>
      </c>
      <c r="C99" s="19" t="str">
        <f>VLOOKUP($A99,Results!$A$2:$C$436,3,FALSE)</f>
        <v>(R)</v>
      </c>
      <c r="D99" s="23">
        <v>188273.49249921966</v>
      </c>
      <c r="E99" s="23">
        <v>234656.67975604086</v>
      </c>
      <c r="F99" s="23">
        <v>426492.3511560382</v>
      </c>
      <c r="G99" s="24">
        <v>0.44144635182528086</v>
      </c>
      <c r="H99" s="24">
        <v>0.5502013790399454</v>
      </c>
    </row>
    <row r="100">
      <c r="A100" s="17" t="s">
        <v>204</v>
      </c>
      <c r="B100" s="18" t="str">
        <f>VLOOKUP($A100,Results!$A$2:$C$436,2,FALSE)</f>
        <v>Gus Bilirakis</v>
      </c>
      <c r="C100" s="19" t="str">
        <f>VLOOKUP($A100,Results!$A$2:$C$436,3,FALSE)</f>
        <v>(R)</v>
      </c>
      <c r="D100" s="23">
        <v>150489.6878236028</v>
      </c>
      <c r="E100" s="23">
        <v>273483.22034184326</v>
      </c>
      <c r="F100" s="23">
        <v>428151.2220452246</v>
      </c>
      <c r="G100" s="24">
        <v>0.3514872317886481</v>
      </c>
      <c r="H100" s="24">
        <v>0.6387538006675498</v>
      </c>
    </row>
    <row r="101">
      <c r="A101" s="17" t="s">
        <v>206</v>
      </c>
      <c r="B101" s="18" t="str">
        <f>VLOOKUP($A101,Results!$A$2:$C$436,2,FALSE)</f>
        <v>Anna Paulina Luna</v>
      </c>
      <c r="C101" s="19" t="str">
        <f>VLOOKUP($A101,Results!$A$2:$C$436,3,FALSE)</f>
        <v>(R)</v>
      </c>
      <c r="D101" s="23">
        <v>207951.13915901395</v>
      </c>
      <c r="E101" s="23">
        <v>238398.91589396755</v>
      </c>
      <c r="F101" s="23">
        <v>450979.8272097213</v>
      </c>
      <c r="G101" s="24">
        <v>0.46110962533654404</v>
      </c>
      <c r="H101" s="24">
        <v>0.5286243452816433</v>
      </c>
    </row>
    <row r="102">
      <c r="A102" s="17" t="s">
        <v>208</v>
      </c>
      <c r="B102" s="18" t="str">
        <f>VLOOKUP($A102,Results!$A$2:$C$436,2,FALSE)</f>
        <v>Kathy Castor</v>
      </c>
      <c r="C102" s="19" t="str">
        <f>VLOOKUP($A102,Results!$A$2:$C$436,3,FALSE)</f>
        <v>(D)</v>
      </c>
      <c r="D102" s="23">
        <v>231590.4846665877</v>
      </c>
      <c r="E102" s="23">
        <v>156408.89720245585</v>
      </c>
      <c r="F102" s="23">
        <v>392643.50242130423</v>
      </c>
      <c r="G102" s="24">
        <v>0.5898238051526252</v>
      </c>
      <c r="H102" s="24">
        <v>0.3983483649619394</v>
      </c>
    </row>
    <row r="103">
      <c r="A103" s="17" t="s">
        <v>210</v>
      </c>
      <c r="B103" s="18" t="str">
        <f>VLOOKUP($A103,Results!$A$2:$C$436,2,FALSE)</f>
        <v>Laurel Lee</v>
      </c>
      <c r="C103" s="19" t="str">
        <f>VLOOKUP($A103,Results!$A$2:$C$436,3,FALSE)</f>
        <v>(R)</v>
      </c>
      <c r="D103" s="23">
        <v>176039.57186192056</v>
      </c>
      <c r="E103" s="23">
        <v>187647.4107934445</v>
      </c>
      <c r="F103" s="23">
        <v>367849.1244725981</v>
      </c>
      <c r="G103" s="24">
        <v>0.47856460747138235</v>
      </c>
      <c r="H103" s="24">
        <v>0.5101205856136889</v>
      </c>
    </row>
    <row r="104">
      <c r="A104" s="17" t="s">
        <v>212</v>
      </c>
      <c r="B104" s="18" t="str">
        <f>VLOOKUP($A104,Results!$A$2:$C$436,2,FALSE)</f>
        <v>Vern Buchanan</v>
      </c>
      <c r="C104" s="19" t="str">
        <f>VLOOKUP($A104,Results!$A$2:$C$436,3,FALSE)</f>
        <v>(R)</v>
      </c>
      <c r="D104" s="23">
        <v>184319.4962953162</v>
      </c>
      <c r="E104" s="23">
        <v>220728.0874569992</v>
      </c>
      <c r="F104" s="23">
        <v>409049.8946811326</v>
      </c>
      <c r="G104" s="24">
        <v>0.4506039451226338</v>
      </c>
      <c r="H104" s="24">
        <v>0.5396116472027546</v>
      </c>
    </row>
    <row r="105">
      <c r="A105" s="17" t="s">
        <v>214</v>
      </c>
      <c r="B105" s="18" t="str">
        <f>VLOOKUP($A105,Results!$A$2:$C$436,2,FALSE)</f>
        <v>Greg Steube</v>
      </c>
      <c r="C105" s="19" t="str">
        <f>VLOOKUP($A105,Results!$A$2:$C$436,3,FALSE)</f>
        <v>(R)</v>
      </c>
      <c r="D105" s="23">
        <v>187426.6138060143</v>
      </c>
      <c r="E105" s="23">
        <v>259236.99713335795</v>
      </c>
      <c r="F105" s="23">
        <v>450113.7989163698</v>
      </c>
      <c r="G105" s="24">
        <v>0.4163982847387395</v>
      </c>
      <c r="H105" s="24">
        <v>0.5759365692797248</v>
      </c>
    </row>
    <row r="106">
      <c r="A106" s="17" t="s">
        <v>216</v>
      </c>
      <c r="B106" s="18" t="str">
        <f>VLOOKUP($A106,Results!$A$2:$C$436,2,FALSE)</f>
        <v>Scott Franklin</v>
      </c>
      <c r="C106" s="19" t="str">
        <f>VLOOKUP($A106,Results!$A$2:$C$436,3,FALSE)</f>
        <v>(R)</v>
      </c>
      <c r="D106" s="23">
        <v>133424.03836049966</v>
      </c>
      <c r="E106" s="23">
        <v>213235.3551706497</v>
      </c>
      <c r="F106" s="23">
        <v>349949.4955966583</v>
      </c>
      <c r="G106" s="24">
        <v>0.38126655428668016</v>
      </c>
      <c r="H106" s="24">
        <v>0.6093317974557638</v>
      </c>
    </row>
    <row r="107">
      <c r="A107" s="17" t="s">
        <v>218</v>
      </c>
      <c r="B107" s="18" t="str">
        <f>VLOOKUP($A107,Results!$A$2:$C$436,2,FALSE)</f>
        <v>Byron Donalds</v>
      </c>
      <c r="C107" s="19" t="str">
        <f>VLOOKUP($A107,Results!$A$2:$C$436,3,FALSE)</f>
        <v>(R)</v>
      </c>
      <c r="D107" s="23">
        <v>169588.72156857763</v>
      </c>
      <c r="E107" s="23">
        <v>260673.97083918346</v>
      </c>
      <c r="F107" s="23">
        <v>433250.84937100665</v>
      </c>
      <c r="G107" s="24">
        <v>0.3914330965877769</v>
      </c>
      <c r="H107" s="24">
        <v>0.6016698437351705</v>
      </c>
    </row>
    <row r="108">
      <c r="A108" s="17" t="s">
        <v>220</v>
      </c>
      <c r="B108" s="18" t="str">
        <f>VLOOKUP($A108,Results!$A$2:$C$436,2,FALSE)</f>
        <v>Sheila Cherfilus-McCormick</v>
      </c>
      <c r="C108" s="19" t="str">
        <f>VLOOKUP($A108,Results!$A$2:$C$436,3,FALSE)</f>
        <v>(D)</v>
      </c>
      <c r="D108" s="23">
        <v>252404.63907961833</v>
      </c>
      <c r="E108" s="23">
        <v>78222.13842354607</v>
      </c>
      <c r="F108" s="23">
        <v>332578.19743511616</v>
      </c>
      <c r="G108" s="24">
        <v>0.7589332103733614</v>
      </c>
      <c r="H108" s="24">
        <v>0.23519923743289486</v>
      </c>
    </row>
    <row r="109">
      <c r="A109" s="17" t="s">
        <v>222</v>
      </c>
      <c r="B109" s="18" t="str">
        <f>VLOOKUP($A109,Results!$A$2:$C$436,2,FALSE)</f>
        <v>Brian Mast</v>
      </c>
      <c r="C109" s="19" t="str">
        <f>VLOOKUP($A109,Results!$A$2:$C$436,3,FALSE)</f>
        <v>(R)</v>
      </c>
      <c r="D109" s="23">
        <v>199069.27026718803</v>
      </c>
      <c r="E109" s="23">
        <v>240849.010796918</v>
      </c>
      <c r="F109" s="23">
        <v>442839.0243374256</v>
      </c>
      <c r="G109" s="24">
        <v>0.4495296469524899</v>
      </c>
      <c r="H109" s="24">
        <v>0.5438748564611612</v>
      </c>
    </row>
    <row r="110">
      <c r="A110" s="17" t="s">
        <v>224</v>
      </c>
      <c r="B110" s="18" t="str">
        <f>VLOOKUP($A110,Results!$A$2:$C$436,2,FALSE)</f>
        <v>Lois Frankel</v>
      </c>
      <c r="C110" s="19" t="str">
        <f>VLOOKUP($A110,Results!$A$2:$C$436,3,FALSE)</f>
        <v>(D)</v>
      </c>
      <c r="D110" s="23">
        <v>229941.67299043504</v>
      </c>
      <c r="E110" s="23">
        <v>160705.4772968367</v>
      </c>
      <c r="F110" s="23">
        <v>393103.52032281767</v>
      </c>
      <c r="G110" s="24">
        <v>0.5849392363660502</v>
      </c>
      <c r="H110" s="24">
        <v>0.40881210416244795</v>
      </c>
    </row>
    <row r="111">
      <c r="A111" s="17" t="s">
        <v>226</v>
      </c>
      <c r="B111" s="18" t="str">
        <f>VLOOKUP($A111,Results!$A$2:$C$436,2,FALSE)</f>
        <v>Jared Moskowitz</v>
      </c>
      <c r="C111" s="19" t="str">
        <f>VLOOKUP($A111,Results!$A$2:$C$436,3,FALSE)</f>
        <v>(D)</v>
      </c>
      <c r="D111" s="23">
        <v>232547.87837317598</v>
      </c>
      <c r="E111" s="23">
        <v>177951.7196162914</v>
      </c>
      <c r="F111" s="23">
        <v>412844.6922892905</v>
      </c>
      <c r="G111" s="24">
        <v>0.5632817442405773</v>
      </c>
      <c r="H111" s="24">
        <v>0.4310379252534903</v>
      </c>
    </row>
    <row r="112">
      <c r="A112" s="17" t="s">
        <v>228</v>
      </c>
      <c r="B112" s="18" t="str">
        <f>VLOOKUP($A112,Results!$A$2:$C$436,2,FALSE)</f>
        <v>Frederica Wilson</v>
      </c>
      <c r="C112" s="19" t="str">
        <f>VLOOKUP($A112,Results!$A$2:$C$436,3,FALSE)</f>
        <v>(D)</v>
      </c>
      <c r="D112" s="23">
        <v>245449.14037243594</v>
      </c>
      <c r="E112" s="23">
        <v>83301.74096276007</v>
      </c>
      <c r="F112" s="23">
        <v>330497.66352040396</v>
      </c>
      <c r="G112" s="24">
        <v>0.7426652816784063</v>
      </c>
      <c r="H112" s="24">
        <v>0.25204940959474365</v>
      </c>
    </row>
    <row r="113">
      <c r="A113" s="17" t="s">
        <v>230</v>
      </c>
      <c r="B113" s="18" t="str">
        <f>VLOOKUP($A113,Results!$A$2:$C$436,2,FALSE)</f>
        <v>Debbie Wasserman Schultz</v>
      </c>
      <c r="C113" s="19" t="str">
        <f>VLOOKUP($A113,Results!$A$2:$C$436,3,FALSE)</f>
        <v>(D)</v>
      </c>
      <c r="D113" s="23">
        <v>229439.2543364338</v>
      </c>
      <c r="E113" s="23">
        <v>152843.55035824445</v>
      </c>
      <c r="F113" s="23">
        <v>384549.527522266</v>
      </c>
      <c r="G113" s="24">
        <v>0.5966442237356511</v>
      </c>
      <c r="H113" s="24">
        <v>0.3974612876085111</v>
      </c>
    </row>
    <row r="114">
      <c r="A114" s="17" t="s">
        <v>232</v>
      </c>
      <c r="B114" s="18" t="str">
        <f>VLOOKUP($A114,Results!$A$2:$C$436,2,FALSE)</f>
        <v>Mario Diaz-Balart</v>
      </c>
      <c r="C114" s="19" t="str">
        <f>VLOOKUP($A114,Results!$A$2:$C$436,3,FALSE)</f>
        <v>(R)</v>
      </c>
      <c r="D114" s="23">
        <v>126831.05989006691</v>
      </c>
      <c r="E114" s="23">
        <v>184088.31001748104</v>
      </c>
      <c r="F114" s="23">
        <v>312563.2744291456</v>
      </c>
      <c r="G114" s="24">
        <v>0.4057772306158062</v>
      </c>
      <c r="H114" s="24">
        <v>0.588963339834769</v>
      </c>
    </row>
    <row r="115">
      <c r="A115" s="17" t="s">
        <v>234</v>
      </c>
      <c r="B115" s="18" t="str">
        <f>VLOOKUP($A115,Results!$A$2:$C$436,2,FALSE)</f>
        <v>María Elvira Salazar</v>
      </c>
      <c r="C115" s="19" t="str">
        <f>VLOOKUP($A115,Results!$A$2:$C$436,3,FALSE)</f>
        <v>(R)</v>
      </c>
      <c r="D115" s="23">
        <v>178067.1449317552</v>
      </c>
      <c r="E115" s="23">
        <v>179207.44728197233</v>
      </c>
      <c r="F115" s="23">
        <v>359222.69600340934</v>
      </c>
      <c r="G115" s="24">
        <v>0.4957012652955124</v>
      </c>
      <c r="H115" s="24">
        <v>0.49887562583259354</v>
      </c>
    </row>
    <row r="116">
      <c r="A116" s="17" t="s">
        <v>236</v>
      </c>
      <c r="B116" s="18" t="str">
        <f>VLOOKUP($A116,Results!$A$2:$C$436,2,FALSE)</f>
        <v>Carlos Giménez</v>
      </c>
      <c r="C116" s="19" t="str">
        <f>VLOOKUP($A116,Results!$A$2:$C$436,3,FALSE)</f>
        <v>(R)</v>
      </c>
      <c r="D116" s="23">
        <v>159454.4708766011</v>
      </c>
      <c r="E116" s="23">
        <v>181198.90856865904</v>
      </c>
      <c r="F116" s="23">
        <v>342664.71929565404</v>
      </c>
      <c r="G116" s="24">
        <v>0.4653367034819316</v>
      </c>
      <c r="H116" s="24">
        <v>0.5287935943365067</v>
      </c>
    </row>
    <row r="117">
      <c r="A117" s="17" t="s">
        <v>238</v>
      </c>
      <c r="B117" s="18" t="str">
        <f>VLOOKUP($A117,Results!$A$2:$C$436,2,FALSE)</f>
        <v>Buddy Carter</v>
      </c>
      <c r="C117" s="19" t="str">
        <f>VLOOKUP($A117,Results!$A$2:$C$436,3,FALSE)</f>
        <v>(R)</v>
      </c>
      <c r="D117" s="23">
        <v>144314.08733967796</v>
      </c>
      <c r="E117" s="23">
        <v>189725.4927672422</v>
      </c>
      <c r="F117" s="23">
        <v>338574.0221788271</v>
      </c>
      <c r="G117" s="24">
        <v>0.42624087462757126</v>
      </c>
      <c r="H117" s="24">
        <v>0.5603663610878967</v>
      </c>
    </row>
    <row r="118">
      <c r="A118" s="17" t="s">
        <v>240</v>
      </c>
      <c r="B118" s="18" t="str">
        <f>VLOOKUP($A118,Results!$A$2:$C$436,2,FALSE)</f>
        <v>Sanford Bishop</v>
      </c>
      <c r="C118" s="19" t="str">
        <f>VLOOKUP($A118,Results!$A$2:$C$436,3,FALSE)</f>
        <v>(D)</v>
      </c>
      <c r="D118" s="23">
        <v>173621.40412472552</v>
      </c>
      <c r="E118" s="23">
        <v>140787.48097237266</v>
      </c>
      <c r="F118" s="23">
        <v>317280.19723317644</v>
      </c>
      <c r="G118" s="24">
        <v>0.5472179027836622</v>
      </c>
      <c r="H118" s="24">
        <v>0.4437323293420192</v>
      </c>
    </row>
    <row r="119">
      <c r="A119" s="17" t="s">
        <v>242</v>
      </c>
      <c r="B119" s="18" t="str">
        <f>VLOOKUP($A119,Results!$A$2:$C$436,2,FALSE)</f>
        <v>Drew Ferguson</v>
      </c>
      <c r="C119" s="19" t="str">
        <f>VLOOKUP($A119,Results!$A$2:$C$436,3,FALSE)</f>
        <v>(R)</v>
      </c>
      <c r="D119" s="23">
        <v>132437.65061164988</v>
      </c>
      <c r="E119" s="23">
        <v>248374.65582178897</v>
      </c>
      <c r="F119" s="23">
        <v>385532.94371456595</v>
      </c>
      <c r="G119" s="24">
        <v>0.34351837572070554</v>
      </c>
      <c r="H119" s="24">
        <v>0.6442371783555706</v>
      </c>
    </row>
    <row r="120">
      <c r="A120" s="17" t="s">
        <v>244</v>
      </c>
      <c r="B120" s="18" t="str">
        <f>VLOOKUP($A120,Results!$A$2:$C$436,2,FALSE)</f>
        <v>Hank Johnson</v>
      </c>
      <c r="C120" s="19" t="str">
        <f>VLOOKUP($A120,Results!$A$2:$C$436,3,FALSE)</f>
        <v>(D)</v>
      </c>
      <c r="D120" s="23">
        <v>278792.6203708964</v>
      </c>
      <c r="E120" s="23">
        <v>73294.87406956695</v>
      </c>
      <c r="F120" s="23">
        <v>355992.3783794142</v>
      </c>
      <c r="G120" s="24">
        <v>0.7831421044462957</v>
      </c>
      <c r="H120" s="24">
        <v>0.2058888856082469</v>
      </c>
    </row>
    <row r="121">
      <c r="A121" s="17" t="s">
        <v>246</v>
      </c>
      <c r="B121" s="18" t="str">
        <f>VLOOKUP($A121,Results!$A$2:$C$436,2,FALSE)</f>
        <v>Nikema Williams</v>
      </c>
      <c r="C121" s="19" t="str">
        <f>VLOOKUP($A121,Results!$A$2:$C$436,3,FALSE)</f>
        <v>(D)</v>
      </c>
      <c r="D121" s="23">
        <v>305738.2608368447</v>
      </c>
      <c r="E121" s="23">
        <v>59840.060593436814</v>
      </c>
      <c r="F121" s="23">
        <v>369992.7215537498</v>
      </c>
      <c r="G121" s="24">
        <v>0.826335879130069</v>
      </c>
      <c r="H121" s="24">
        <v>0.16173307502413584</v>
      </c>
    </row>
    <row r="122">
      <c r="A122" s="17" t="s">
        <v>248</v>
      </c>
      <c r="B122" s="18" t="str">
        <f>VLOOKUP($A122,Results!$A$2:$C$436,2,FALSE)</f>
        <v>Rich McCormick</v>
      </c>
      <c r="C122" s="19" t="str">
        <f>VLOOKUP($A122,Results!$A$2:$C$436,3,FALSE)</f>
        <v>(R)</v>
      </c>
      <c r="D122" s="23">
        <v>174012.18940231524</v>
      </c>
      <c r="E122" s="23">
        <v>236093.67855309436</v>
      </c>
      <c r="F122" s="23">
        <v>416665.78944367316</v>
      </c>
      <c r="G122" s="24">
        <v>0.4176301338169714</v>
      </c>
      <c r="H122" s="24">
        <v>0.5666260214651259</v>
      </c>
    </row>
    <row r="123">
      <c r="A123" s="17" t="s">
        <v>250</v>
      </c>
      <c r="B123" s="18" t="str">
        <f>VLOOKUP($A123,Results!$A$2:$C$436,2,FALSE)</f>
        <v>Lucy McBath</v>
      </c>
      <c r="C123" s="19" t="str">
        <f>VLOOKUP($A123,Results!$A$2:$C$436,3,FALSE)</f>
        <v>(D)</v>
      </c>
      <c r="D123" s="23">
        <v>203069.74102909458</v>
      </c>
      <c r="E123" s="23">
        <v>118944.08938880662</v>
      </c>
      <c r="F123" s="23">
        <v>326147.4060854377</v>
      </c>
      <c r="G123" s="24">
        <v>0.6226317831756674</v>
      </c>
      <c r="H123" s="24">
        <v>0.36469426759030543</v>
      </c>
    </row>
    <row r="124">
      <c r="A124" s="17" t="s">
        <v>252</v>
      </c>
      <c r="B124" s="18" t="str">
        <f>VLOOKUP($A124,Results!$A$2:$C$436,2,FALSE)</f>
        <v>Austin Scott</v>
      </c>
      <c r="C124" s="19" t="str">
        <f>VLOOKUP($A124,Results!$A$2:$C$436,3,FALSE)</f>
        <v>(R)</v>
      </c>
      <c r="D124" s="23">
        <v>117889.09804041327</v>
      </c>
      <c r="E124" s="23">
        <v>209159.27230445622</v>
      </c>
      <c r="F124" s="23">
        <v>330441.4446456953</v>
      </c>
      <c r="G124" s="24">
        <v>0.3567624459662313</v>
      </c>
      <c r="H124" s="24">
        <v>0.6329692467260583</v>
      </c>
    </row>
    <row r="125">
      <c r="A125" s="17" t="s">
        <v>254</v>
      </c>
      <c r="B125" s="18" t="str">
        <f>VLOOKUP($A125,Results!$A$2:$C$436,2,FALSE)</f>
        <v>Andrew Clyde</v>
      </c>
      <c r="C125" s="19" t="str">
        <f>VLOOKUP($A125,Results!$A$2:$C$436,3,FALSE)</f>
        <v>(R)</v>
      </c>
      <c r="D125" s="23">
        <v>112848.42545833086</v>
      </c>
      <c r="E125" s="23">
        <v>253354.96992250712</v>
      </c>
      <c r="F125" s="23">
        <v>370973.3519875901</v>
      </c>
      <c r="G125" s="24">
        <v>0.30419550313712534</v>
      </c>
      <c r="H125" s="24">
        <v>0.6829465474139567</v>
      </c>
    </row>
    <row r="126">
      <c r="A126" s="17" t="s">
        <v>256</v>
      </c>
      <c r="B126" s="18" t="str">
        <f>VLOOKUP($A126,Results!$A$2:$C$436,2,FALSE)</f>
        <v>Mike Collins</v>
      </c>
      <c r="C126" s="19" t="str">
        <f>VLOOKUP($A126,Results!$A$2:$C$436,3,FALSE)</f>
        <v>(R)</v>
      </c>
      <c r="D126" s="23">
        <v>142395.1805105427</v>
      </c>
      <c r="E126" s="23">
        <v>230837.0837205663</v>
      </c>
      <c r="F126" s="23">
        <v>378085.9997280778</v>
      </c>
      <c r="G126" s="24">
        <v>0.3766211407271212</v>
      </c>
      <c r="H126" s="24">
        <v>0.610541209900885</v>
      </c>
    </row>
    <row r="127">
      <c r="A127" s="17" t="s">
        <v>258</v>
      </c>
      <c r="B127" s="18" t="str">
        <f>VLOOKUP($A127,Results!$A$2:$C$436,2,FALSE)</f>
        <v>Barry Loudermilk</v>
      </c>
      <c r="C127" s="19" t="str">
        <f>VLOOKUP($A127,Results!$A$2:$C$436,3,FALSE)</f>
        <v>(R)</v>
      </c>
      <c r="D127" s="23">
        <v>158590.58548976615</v>
      </c>
      <c r="E127" s="23">
        <v>217159.4510405637</v>
      </c>
      <c r="F127" s="23">
        <v>382041.06899812986</v>
      </c>
      <c r="G127" s="24">
        <v>0.4151139716618856</v>
      </c>
      <c r="H127" s="24">
        <v>0.568419127320646</v>
      </c>
    </row>
    <row r="128">
      <c r="A128" s="17" t="s">
        <v>260</v>
      </c>
      <c r="B128" s="18" t="str">
        <f>VLOOKUP($A128,Results!$A$2:$C$436,2,FALSE)</f>
        <v>Rick Allen</v>
      </c>
      <c r="C128" s="19" t="str">
        <f>VLOOKUP($A128,Results!$A$2:$C$436,3,FALSE)</f>
        <v>(R)</v>
      </c>
      <c r="D128" s="23">
        <v>151146.1286409368</v>
      </c>
      <c r="E128" s="23">
        <v>185743.30864568078</v>
      </c>
      <c r="F128" s="23">
        <v>340947.92696769384</v>
      </c>
      <c r="G128" s="24">
        <v>0.44331147570009566</v>
      </c>
      <c r="H128" s="24">
        <v>0.5447849772768399</v>
      </c>
    </row>
    <row r="129">
      <c r="A129" s="17" t="s">
        <v>262</v>
      </c>
      <c r="B129" s="18" t="str">
        <f>VLOOKUP($A129,Results!$A$2:$C$436,2,FALSE)</f>
        <v>David Scott</v>
      </c>
      <c r="C129" s="19" t="str">
        <f>VLOOKUP($A129,Results!$A$2:$C$436,3,FALSE)</f>
        <v>(D)</v>
      </c>
      <c r="D129" s="23">
        <v>274153.1289531273</v>
      </c>
      <c r="E129" s="23">
        <v>66469.52568266078</v>
      </c>
      <c r="F129" s="23">
        <v>344049.2187104721</v>
      </c>
      <c r="G129" s="24">
        <v>0.7968427598256966</v>
      </c>
      <c r="H129" s="24">
        <v>0.1931977230810017</v>
      </c>
    </row>
    <row r="130">
      <c r="A130" s="17" t="s">
        <v>264</v>
      </c>
      <c r="B130" s="18" t="str">
        <f>VLOOKUP($A130,Results!$A$2:$C$436,2,FALSE)</f>
        <v>Marjorie Taylor Greene</v>
      </c>
      <c r="C130" s="19" t="str">
        <f>VLOOKUP($A130,Results!$A$2:$C$436,3,FALSE)</f>
        <v>(R)</v>
      </c>
      <c r="D130" s="23">
        <v>104624.49919167868</v>
      </c>
      <c r="E130" s="23">
        <v>232070.05651725645</v>
      </c>
      <c r="F130" s="23">
        <v>340991.5303734966</v>
      </c>
      <c r="G130" s="24">
        <v>0.30682433395656733</v>
      </c>
      <c r="H130" s="24">
        <v>0.6805742543313739</v>
      </c>
    </row>
    <row r="131">
      <c r="A131" s="17" t="s">
        <v>266</v>
      </c>
      <c r="B131" s="18" t="str">
        <f>VLOOKUP($A131,Results!$A$2:$C$436,2,FALSE)</f>
        <v>Ed Case</v>
      </c>
      <c r="C131" s="19" t="str">
        <f>VLOOKUP($A131,Results!$A$2:$C$436,3,FALSE)</f>
        <v>(D)</v>
      </c>
      <c r="D131" s="23">
        <v>178660.47645156755</v>
      </c>
      <c r="E131" s="23">
        <v>96349.73766343314</v>
      </c>
      <c r="F131" s="23">
        <v>279670.2014621116</v>
      </c>
      <c r="G131" s="24">
        <v>0.6388255721114844</v>
      </c>
      <c r="H131" s="24">
        <v>0.34451199005013106</v>
      </c>
    </row>
    <row r="132">
      <c r="A132" s="17" t="s">
        <v>268</v>
      </c>
      <c r="B132" s="18" t="str">
        <f>VLOOKUP($A132,Results!$A$2:$C$436,2,FALSE)</f>
        <v>Jill Tokuda</v>
      </c>
      <c r="C132" s="19" t="str">
        <f>VLOOKUP($A132,Results!$A$2:$C$436,3,FALSE)</f>
        <v>(D)</v>
      </c>
      <c r="D132" s="23">
        <v>187469.52354843245</v>
      </c>
      <c r="E132" s="23">
        <v>100514.26233656684</v>
      </c>
      <c r="F132" s="23">
        <v>294798.7985378884</v>
      </c>
      <c r="G132" s="24">
        <v>0.6359236349612815</v>
      </c>
      <c r="H132" s="24">
        <v>0.34095886019579036</v>
      </c>
    </row>
    <row r="133">
      <c r="A133" s="17" t="s">
        <v>270</v>
      </c>
      <c r="B133" s="18" t="str">
        <f>VLOOKUP($A133,Results!$A$2:$C$436,2,FALSE)</f>
        <v>Mariannette Miller-Meeks</v>
      </c>
      <c r="C133" s="19" t="str">
        <f>VLOOKUP($A133,Results!$A$2:$C$436,3,FALSE)</f>
        <v>(R)</v>
      </c>
      <c r="D133" s="27">
        <v>203400.0</v>
      </c>
      <c r="E133" s="27">
        <v>215742.0</v>
      </c>
      <c r="F133" s="27">
        <v>426927.0</v>
      </c>
      <c r="G133" s="28">
        <v>0.4764280544449051</v>
      </c>
      <c r="H133" s="28">
        <v>0.5053369779845266</v>
      </c>
    </row>
    <row r="134">
      <c r="A134" s="17" t="s">
        <v>272</v>
      </c>
      <c r="B134" s="18" t="str">
        <f>VLOOKUP($A134,Results!$A$2:$C$436,2,FALSE)</f>
        <v>Ashley Hinson</v>
      </c>
      <c r="C134" s="19" t="str">
        <f>VLOOKUP($A134,Results!$A$2:$C$436,3,FALSE)</f>
        <v>(R)</v>
      </c>
      <c r="D134" s="27">
        <v>203246.0</v>
      </c>
      <c r="E134" s="27">
        <v>222312.0</v>
      </c>
      <c r="F134" s="27">
        <v>433378.0</v>
      </c>
      <c r="G134" s="28">
        <v>0.4689808896621425</v>
      </c>
      <c r="H134" s="28">
        <v>0.5129748164419975</v>
      </c>
    </row>
    <row r="135">
      <c r="A135" s="17" t="s">
        <v>274</v>
      </c>
      <c r="B135" s="18" t="str">
        <f>VLOOKUP($A135,Results!$A$2:$C$436,2,FALSE)</f>
        <v>Zach Nunn</v>
      </c>
      <c r="C135" s="19" t="str">
        <f>VLOOKUP($A135,Results!$A$2:$C$436,3,FALSE)</f>
        <v>(R)</v>
      </c>
      <c r="D135" s="27">
        <v>205591.0</v>
      </c>
      <c r="E135" s="27">
        <v>207043.0</v>
      </c>
      <c r="F135" s="27">
        <v>420101.0</v>
      </c>
      <c r="G135" s="28">
        <v>0.4893846955851093</v>
      </c>
      <c r="H135" s="28">
        <v>0.4928410072815823</v>
      </c>
    </row>
    <row r="136">
      <c r="A136" s="17" t="s">
        <v>276</v>
      </c>
      <c r="B136" s="18" t="str">
        <f>VLOOKUP($A136,Results!$A$2:$C$436,2,FALSE)</f>
        <v>Randy Feenstra</v>
      </c>
      <c r="C136" s="19" t="str">
        <f>VLOOKUP($A136,Results!$A$2:$C$436,3,FALSE)</f>
        <v>(R)</v>
      </c>
      <c r="D136" s="27">
        <v>146824.0</v>
      </c>
      <c r="E136" s="27">
        <v>252575.0</v>
      </c>
      <c r="F136" s="27">
        <v>406128.0</v>
      </c>
      <c r="G136" s="28">
        <v>0.36152149076153334</v>
      </c>
      <c r="H136" s="28">
        <v>0.6219098412323208</v>
      </c>
    </row>
    <row r="137">
      <c r="A137" s="17" t="s">
        <v>278</v>
      </c>
      <c r="B137" s="18" t="str">
        <f>VLOOKUP($A137,Results!$A$2:$C$436,2,FALSE)</f>
        <v>Russ Fulcher</v>
      </c>
      <c r="C137" s="19" t="str">
        <f>VLOOKUP($A137,Results!$A$2:$C$436,3,FALSE)</f>
        <v>(R)</v>
      </c>
      <c r="D137" s="23">
        <v>132085.1650341648</v>
      </c>
      <c r="E137" s="23">
        <v>302868.467562389</v>
      </c>
      <c r="F137" s="23">
        <v>447457.1135585244</v>
      </c>
      <c r="G137" s="24">
        <v>0.2951906697464738</v>
      </c>
      <c r="H137" s="24">
        <v>0.6768659126988621</v>
      </c>
    </row>
    <row r="138">
      <c r="A138" s="17" t="s">
        <v>280</v>
      </c>
      <c r="B138" s="18" t="str">
        <f>VLOOKUP($A138,Results!$A$2:$C$436,2,FALSE)</f>
        <v>Mike Simpson</v>
      </c>
      <c r="C138" s="19" t="str">
        <f>VLOOKUP($A138,Results!$A$2:$C$436,3,FALSE)</f>
        <v>(R)</v>
      </c>
      <c r="D138" s="23">
        <v>154935.8349658352</v>
      </c>
      <c r="E138" s="23">
        <v>251250.532437611</v>
      </c>
      <c r="F138" s="23">
        <v>419903.8864414756</v>
      </c>
      <c r="G138" s="24">
        <v>0.36897928304226235</v>
      </c>
      <c r="H138" s="24">
        <v>0.5983524814853773</v>
      </c>
    </row>
    <row r="139">
      <c r="A139" s="17" t="s">
        <v>282</v>
      </c>
      <c r="B139" s="18" t="str">
        <f>VLOOKUP($A139,Results!$A$2:$C$436,2,FALSE)</f>
        <v>Jonathan Jackson</v>
      </c>
      <c r="C139" s="19" t="str">
        <f>VLOOKUP($A139,Results!$A$2:$C$436,3,FALSE)</f>
        <v>(D)</v>
      </c>
      <c r="D139" s="23">
        <v>260630.7386582896</v>
      </c>
      <c r="E139" s="23">
        <v>103984.05227928888</v>
      </c>
      <c r="F139" s="23">
        <v>369752.53101136466</v>
      </c>
      <c r="G139" s="24">
        <v>0.7048788494980684</v>
      </c>
      <c r="H139" s="24">
        <v>0.2812260730031158</v>
      </c>
    </row>
    <row r="140">
      <c r="A140" s="17" t="s">
        <v>284</v>
      </c>
      <c r="B140" s="18" t="str">
        <f>VLOOKUP($A140,Results!$A$2:$C$436,2,FALSE)</f>
        <v>Robin Kelly</v>
      </c>
      <c r="C140" s="19" t="str">
        <f>VLOOKUP($A140,Results!$A$2:$C$436,3,FALSE)</f>
        <v>(D)</v>
      </c>
      <c r="D140" s="23">
        <v>231923.52301795117</v>
      </c>
      <c r="E140" s="23">
        <v>97999.78323064177</v>
      </c>
      <c r="F140" s="23">
        <v>334668.4751392053</v>
      </c>
      <c r="G140" s="24">
        <v>0.6929948299477046</v>
      </c>
      <c r="H140" s="24">
        <v>0.29282645516545525</v>
      </c>
    </row>
    <row r="141">
      <c r="A141" s="17" t="s">
        <v>286</v>
      </c>
      <c r="B141" s="18" t="str">
        <f>VLOOKUP($A141,Results!$A$2:$C$436,2,FALSE)</f>
        <v>Delia Ramirez</v>
      </c>
      <c r="C141" s="19" t="str">
        <f>VLOOKUP($A141,Results!$A$2:$C$436,3,FALSE)</f>
        <v>(D)</v>
      </c>
      <c r="D141" s="23">
        <v>207341.62894959078</v>
      </c>
      <c r="E141" s="23">
        <v>84147.22720722371</v>
      </c>
      <c r="F141" s="23">
        <v>297395.43002387485</v>
      </c>
      <c r="G141" s="24">
        <v>0.6971917118327792</v>
      </c>
      <c r="H141" s="24">
        <v>0.2829472773017003</v>
      </c>
    </row>
    <row r="142">
      <c r="A142" s="17" t="s">
        <v>288</v>
      </c>
      <c r="B142" s="18" t="str">
        <f>VLOOKUP($A142,Results!$A$2:$C$436,2,FALSE)</f>
        <v>Chuy Garcia</v>
      </c>
      <c r="C142" s="19" t="str">
        <f>VLOOKUP($A142,Results!$A$2:$C$436,3,FALSE)</f>
        <v>(D)</v>
      </c>
      <c r="D142" s="23">
        <v>175300.94316153578</v>
      </c>
      <c r="E142" s="23">
        <v>62731.15834777138</v>
      </c>
      <c r="F142" s="23">
        <v>242542.84732275252</v>
      </c>
      <c r="G142" s="24">
        <v>0.7227627823147564</v>
      </c>
      <c r="H142" s="24">
        <v>0.2586394900538742</v>
      </c>
    </row>
    <row r="143">
      <c r="A143" s="17" t="s">
        <v>290</v>
      </c>
      <c r="B143" s="18" t="str">
        <f>VLOOKUP($A143,Results!$A$2:$C$436,2,FALSE)</f>
        <v>Mike Quigley</v>
      </c>
      <c r="C143" s="19" t="str">
        <f>VLOOKUP($A143,Results!$A$2:$C$436,3,FALSE)</f>
        <v>(D)</v>
      </c>
      <c r="D143" s="23">
        <v>275679.08003613894</v>
      </c>
      <c r="E143" s="23">
        <v>117237.3345087681</v>
      </c>
      <c r="F143" s="23">
        <v>400256.3034754667</v>
      </c>
      <c r="G143" s="24">
        <v>0.6887563734596786</v>
      </c>
      <c r="H143" s="24">
        <v>0.29290565442888533</v>
      </c>
    </row>
    <row r="144">
      <c r="A144" s="17" t="s">
        <v>292</v>
      </c>
      <c r="B144" s="18" t="str">
        <f>VLOOKUP($A144,Results!$A$2:$C$436,2,FALSE)</f>
        <v>Sean Casten</v>
      </c>
      <c r="C144" s="19" t="str">
        <f>VLOOKUP($A144,Results!$A$2:$C$436,3,FALSE)</f>
        <v>(D)</v>
      </c>
      <c r="D144" s="23">
        <v>216368.34387826454</v>
      </c>
      <c r="E144" s="23">
        <v>173185.2636064163</v>
      </c>
      <c r="F144" s="23">
        <v>396914.1445015504</v>
      </c>
      <c r="G144" s="24">
        <v>0.5451263122657988</v>
      </c>
      <c r="H144" s="24">
        <v>0.43632928179947944</v>
      </c>
    </row>
    <row r="145">
      <c r="A145" s="17" t="s">
        <v>294</v>
      </c>
      <c r="B145" s="18" t="str">
        <f>VLOOKUP($A145,Results!$A$2:$C$436,2,FALSE)</f>
        <v>Danny Davis</v>
      </c>
      <c r="C145" s="19" t="str">
        <f>VLOOKUP($A145,Results!$A$2:$C$436,3,FALSE)</f>
        <v>(D)</v>
      </c>
      <c r="D145" s="23">
        <v>274895.5818941953</v>
      </c>
      <c r="E145" s="23">
        <v>41081.99158811792</v>
      </c>
      <c r="F145" s="23">
        <v>321060.1636487257</v>
      </c>
      <c r="G145" s="24">
        <v>0.8562120531245992</v>
      </c>
      <c r="H145" s="24">
        <v>0.1279572997198931</v>
      </c>
    </row>
    <row r="146">
      <c r="A146" s="17" t="s">
        <v>296</v>
      </c>
      <c r="B146" s="18" t="str">
        <f>VLOOKUP($A146,Results!$A$2:$C$436,2,FALSE)</f>
        <v>Raja Krishnamoorthi</v>
      </c>
      <c r="C146" s="19" t="str">
        <f>VLOOKUP($A146,Results!$A$2:$C$436,3,FALSE)</f>
        <v>(D)</v>
      </c>
      <c r="D146" s="23">
        <v>189430.21361648772</v>
      </c>
      <c r="E146" s="23">
        <v>138017.20320118687</v>
      </c>
      <c r="F146" s="23">
        <v>333627.8021253083</v>
      </c>
      <c r="G146" s="24">
        <v>0.5677890523804099</v>
      </c>
      <c r="H146" s="24">
        <v>0.4136861566151749</v>
      </c>
    </row>
    <row r="147">
      <c r="A147" s="17" t="s">
        <v>298</v>
      </c>
      <c r="B147" s="18" t="str">
        <f>VLOOKUP($A147,Results!$A$2:$C$436,2,FALSE)</f>
        <v>Jan Schakowsky</v>
      </c>
      <c r="C147" s="19" t="str">
        <f>VLOOKUP($A147,Results!$A$2:$C$436,3,FALSE)</f>
        <v>(D)</v>
      </c>
      <c r="D147" s="23">
        <v>267524.3561878409</v>
      </c>
      <c r="E147" s="23">
        <v>108596.14610443881</v>
      </c>
      <c r="F147" s="23">
        <v>382481.51936727756</v>
      </c>
      <c r="G147" s="24">
        <v>0.6994438754332359</v>
      </c>
      <c r="H147" s="24">
        <v>0.28392521103786833</v>
      </c>
    </row>
    <row r="148">
      <c r="A148" s="17" t="s">
        <v>300</v>
      </c>
      <c r="B148" s="18" t="str">
        <f>VLOOKUP($A148,Results!$A$2:$C$436,2,FALSE)</f>
        <v>Brad Schneider</v>
      </c>
      <c r="C148" s="19" t="str">
        <f>VLOOKUP($A148,Results!$A$2:$C$436,3,FALSE)</f>
        <v>(D)</v>
      </c>
      <c r="D148" s="23">
        <v>220356.52717967946</v>
      </c>
      <c r="E148" s="23">
        <v>128415.54182691353</v>
      </c>
      <c r="F148" s="23">
        <v>355521.55375774053</v>
      </c>
      <c r="G148" s="24">
        <v>0.6198120053498494</v>
      </c>
      <c r="H148" s="24">
        <v>0.36120325327566055</v>
      </c>
    </row>
    <row r="149">
      <c r="A149" s="17" t="s">
        <v>302</v>
      </c>
      <c r="B149" s="18" t="str">
        <f>VLOOKUP($A149,Results!$A$2:$C$436,2,FALSE)</f>
        <v>Bill Foster</v>
      </c>
      <c r="C149" s="19" t="str">
        <f>VLOOKUP($A149,Results!$A$2:$C$436,3,FALSE)</f>
        <v>(D)</v>
      </c>
      <c r="D149" s="23">
        <v>215327.7023383128</v>
      </c>
      <c r="E149" s="23">
        <v>157129.44064780974</v>
      </c>
      <c r="F149" s="23">
        <v>380477.9958688099</v>
      </c>
      <c r="G149" s="24">
        <v>0.565939961512409</v>
      </c>
      <c r="H149" s="24">
        <v>0.41297904833894383</v>
      </c>
    </row>
    <row r="150">
      <c r="A150" s="17" t="s">
        <v>304</v>
      </c>
      <c r="B150" s="18" t="str">
        <f>VLOOKUP($A150,Results!$A$2:$C$436,2,FALSE)</f>
        <v>Mike Bost</v>
      </c>
      <c r="C150" s="19" t="str">
        <f>VLOOKUP($A150,Results!$A$2:$C$436,3,FALSE)</f>
        <v>(R)</v>
      </c>
      <c r="D150" s="23">
        <v>106204.4557731172</v>
      </c>
      <c r="E150" s="23">
        <v>270197.93644816853</v>
      </c>
      <c r="F150" s="23">
        <v>383256.91171535914</v>
      </c>
      <c r="G150" s="24">
        <v>0.2771103469413596</v>
      </c>
      <c r="H150" s="24">
        <v>0.7050047323056282</v>
      </c>
    </row>
    <row r="151">
      <c r="A151" s="17" t="s">
        <v>306</v>
      </c>
      <c r="B151" s="18" t="str">
        <f>VLOOKUP($A151,Results!$A$2:$C$436,2,FALSE)</f>
        <v>Nikki Budzinski</v>
      </c>
      <c r="C151" s="19" t="str">
        <f>VLOOKUP($A151,Results!$A$2:$C$436,3,FALSE)</f>
        <v>(D)</v>
      </c>
      <c r="D151" s="23">
        <v>195392.93909662202</v>
      </c>
      <c r="E151" s="23">
        <v>155141.90480418544</v>
      </c>
      <c r="F151" s="23">
        <v>358904.29010526434</v>
      </c>
      <c r="G151" s="24">
        <v>0.5444151671726034</v>
      </c>
      <c r="H151" s="24">
        <v>0.4322653952079629</v>
      </c>
    </row>
    <row r="152">
      <c r="A152" s="17" t="s">
        <v>308</v>
      </c>
      <c r="B152" s="18" t="str">
        <f>VLOOKUP($A152,Results!$A$2:$C$436,2,FALSE)</f>
        <v>Lauren Underwood</v>
      </c>
      <c r="C152" s="19" t="str">
        <f>VLOOKUP($A152,Results!$A$2:$C$436,3,FALSE)</f>
        <v>(D)</v>
      </c>
      <c r="D152" s="23">
        <v>191027.74492143726</v>
      </c>
      <c r="E152" s="23">
        <v>151016.32432556723</v>
      </c>
      <c r="F152" s="23">
        <v>348997.6599745924</v>
      </c>
      <c r="G152" s="24">
        <v>0.547361105330461</v>
      </c>
      <c r="H152" s="24">
        <v>0.4327144323447941</v>
      </c>
    </row>
    <row r="153">
      <c r="A153" s="17" t="s">
        <v>310</v>
      </c>
      <c r="B153" s="18" t="str">
        <f>VLOOKUP($A153,Results!$A$2:$C$436,2,FALSE)</f>
        <v>Mary Miller</v>
      </c>
      <c r="C153" s="19" t="str">
        <f>VLOOKUP($A153,Results!$A$2:$C$436,3,FALSE)</f>
        <v>(R)</v>
      </c>
      <c r="D153" s="23">
        <v>117056.69070718407</v>
      </c>
      <c r="E153" s="23">
        <v>270235.60497452744</v>
      </c>
      <c r="F153" s="23">
        <v>395434.26349019946</v>
      </c>
      <c r="G153" s="24">
        <v>0.2960206070005495</v>
      </c>
      <c r="H153" s="24">
        <v>0.6833894528748267</v>
      </c>
    </row>
    <row r="154">
      <c r="A154" s="17" t="s">
        <v>312</v>
      </c>
      <c r="B154" s="18" t="str">
        <f>VLOOKUP($A154,Results!$A$2:$C$436,2,FALSE)</f>
        <v>Darin LaHood</v>
      </c>
      <c r="C154" s="19" t="str">
        <f>VLOOKUP($A154,Results!$A$2:$C$436,3,FALSE)</f>
        <v>(R)</v>
      </c>
      <c r="D154" s="23">
        <v>152633.05815623316</v>
      </c>
      <c r="E154" s="23">
        <v>238789.11198747007</v>
      </c>
      <c r="F154" s="23">
        <v>400519.26270595466</v>
      </c>
      <c r="G154" s="24">
        <v>0.3810879335116781</v>
      </c>
      <c r="H154" s="24">
        <v>0.5961988204367079</v>
      </c>
    </row>
    <row r="155">
      <c r="A155" s="17" t="s">
        <v>314</v>
      </c>
      <c r="B155" s="18" t="str">
        <f>VLOOKUP($A155,Results!$A$2:$C$436,2,FALSE)</f>
        <v>Eric Sorensen</v>
      </c>
      <c r="C155" s="19" t="str">
        <f>VLOOKUP($A155,Results!$A$2:$C$436,3,FALSE)</f>
        <v>(D)</v>
      </c>
      <c r="D155" s="23">
        <v>174821.47242711933</v>
      </c>
      <c r="E155" s="23">
        <v>148984.97491150422</v>
      </c>
      <c r="F155" s="23">
        <v>331626.845766554</v>
      </c>
      <c r="G155" s="24">
        <v>0.5271632096702553</v>
      </c>
      <c r="H155" s="24">
        <v>0.44925486827559485</v>
      </c>
    </row>
    <row r="156">
      <c r="A156" s="17" t="s">
        <v>316</v>
      </c>
      <c r="B156" s="18" t="str">
        <f>VLOOKUP($A156,Results!$A$2:$C$436,2,FALSE)</f>
        <v>Frank Mrvan</v>
      </c>
      <c r="C156" s="19" t="str">
        <f>VLOOKUP($A156,Results!$A$2:$C$436,3,FALSE)</f>
        <v>(D)</v>
      </c>
      <c r="D156" s="27">
        <v>181832.024708047</v>
      </c>
      <c r="E156" s="27">
        <v>153363.54725695617</v>
      </c>
      <c r="F156" s="27">
        <v>340699.919830273</v>
      </c>
      <c r="G156" s="28">
        <v>0.5337014015108384</v>
      </c>
      <c r="H156" s="28">
        <v>0.45014259860512296</v>
      </c>
    </row>
    <row r="157">
      <c r="A157" s="17" t="s">
        <v>318</v>
      </c>
      <c r="B157" s="18" t="str">
        <f>VLOOKUP($A157,Results!$A$2:$C$436,2,FALSE)</f>
        <v>Rudy Yakym</v>
      </c>
      <c r="C157" s="19" t="str">
        <f>VLOOKUP($A157,Results!$A$2:$C$436,3,FALSE)</f>
        <v>(R)</v>
      </c>
      <c r="D157" s="27">
        <v>117686.92679598549</v>
      </c>
      <c r="E157" s="27">
        <v>187967.6036839339</v>
      </c>
      <c r="F157" s="27">
        <v>311424.0560214942</v>
      </c>
      <c r="G157" s="28">
        <v>0.37789928080527874</v>
      </c>
      <c r="H157" s="28">
        <v>0.603574451136686</v>
      </c>
    </row>
    <row r="158">
      <c r="A158" s="17" t="s">
        <v>320</v>
      </c>
      <c r="B158" s="18" t="str">
        <f>VLOOKUP($A158,Results!$A$2:$C$436,2,FALSE)</f>
        <v>Jim Banks</v>
      </c>
      <c r="C158" s="19" t="str">
        <f>VLOOKUP($A158,Results!$A$2:$C$436,3,FALSE)</f>
        <v>(R)</v>
      </c>
      <c r="D158" s="27">
        <v>111649.91300121785</v>
      </c>
      <c r="E158" s="27">
        <v>209890.27140681524</v>
      </c>
      <c r="F158" s="27">
        <v>328584.1923018258</v>
      </c>
      <c r="G158" s="28">
        <v>0.33979088348431624</v>
      </c>
      <c r="H158" s="28">
        <v>0.6387716643837129</v>
      </c>
    </row>
    <row r="159">
      <c r="A159" s="17" t="s">
        <v>322</v>
      </c>
      <c r="B159" s="18" t="str">
        <f>VLOOKUP($A159,Results!$A$2:$C$436,2,FALSE)</f>
        <v>Jim Baird</v>
      </c>
      <c r="C159" s="19" t="str">
        <f>VLOOKUP($A159,Results!$A$2:$C$436,3,FALSE)</f>
        <v>(R)</v>
      </c>
      <c r="D159" s="27">
        <v>118417.15745230614</v>
      </c>
      <c r="E159" s="27">
        <v>219029.3975193755</v>
      </c>
      <c r="F159" s="27">
        <v>345309.4308970251</v>
      </c>
      <c r="G159" s="28">
        <v>0.3429305627265633</v>
      </c>
      <c r="H159" s="28">
        <v>0.6342989154695065</v>
      </c>
    </row>
    <row r="160">
      <c r="A160" s="17" t="s">
        <v>324</v>
      </c>
      <c r="B160" s="18" t="str">
        <f>VLOOKUP($A160,Results!$A$2:$C$436,2,FALSE)</f>
        <v>Victoria Spartz</v>
      </c>
      <c r="C160" s="19" t="str">
        <f>VLOOKUP($A160,Results!$A$2:$C$436,3,FALSE)</f>
        <v>(R)</v>
      </c>
      <c r="D160" s="27">
        <v>151397.22372990352</v>
      </c>
      <c r="E160" s="27">
        <v>210211.92563772775</v>
      </c>
      <c r="F160" s="27">
        <v>369022.1528403001</v>
      </c>
      <c r="G160" s="28">
        <v>0.41026594898063734</v>
      </c>
      <c r="H160" s="28">
        <v>0.5696458167071073</v>
      </c>
    </row>
    <row r="161">
      <c r="A161" s="17" t="s">
        <v>326</v>
      </c>
      <c r="B161" s="18" t="str">
        <f>VLOOKUP($A161,Results!$A$2:$C$436,2,FALSE)</f>
        <v>Greg Pence</v>
      </c>
      <c r="C161" s="19" t="str">
        <f>VLOOKUP($A161,Results!$A$2:$C$436,3,FALSE)</f>
        <v>(R)</v>
      </c>
      <c r="D161" s="27">
        <v>109390.79049974518</v>
      </c>
      <c r="E161" s="27">
        <v>215307.2806992793</v>
      </c>
      <c r="F161" s="27">
        <v>331748.45518745034</v>
      </c>
      <c r="G161" s="28">
        <v>0.329740165445338</v>
      </c>
      <c r="H161" s="28">
        <v>0.6490076361549977</v>
      </c>
    </row>
    <row r="162">
      <c r="A162" s="17" t="s">
        <v>328</v>
      </c>
      <c r="B162" s="18" t="str">
        <f>VLOOKUP($A162,Results!$A$2:$C$436,2,FALSE)</f>
        <v>André Carson</v>
      </c>
      <c r="C162" s="19" t="str">
        <f>VLOOKUP($A162,Results!$A$2:$C$436,3,FALSE)</f>
        <v>(D)</v>
      </c>
      <c r="D162" s="27">
        <v>213497.8952322963</v>
      </c>
      <c r="E162" s="27">
        <v>84812.72753631593</v>
      </c>
      <c r="F162" s="27">
        <v>303733.62620932277</v>
      </c>
      <c r="G162" s="28">
        <v>0.7029116199507027</v>
      </c>
      <c r="H162" s="28">
        <v>0.27923390832553363</v>
      </c>
    </row>
    <row r="163">
      <c r="A163" s="17" t="s">
        <v>330</v>
      </c>
      <c r="B163" s="18" t="str">
        <f>VLOOKUP($A163,Results!$A$2:$C$436,2,FALSE)</f>
        <v>Larry Bucshon</v>
      </c>
      <c r="C163" s="19" t="str">
        <f>VLOOKUP($A163,Results!$A$2:$C$436,3,FALSE)</f>
        <v>(R)</v>
      </c>
      <c r="D163" s="27">
        <v>112346.06222421964</v>
      </c>
      <c r="E163" s="27">
        <v>225275.33834309995</v>
      </c>
      <c r="F163" s="27">
        <v>343948.43946840055</v>
      </c>
      <c r="G163" s="28">
        <v>0.32663634816270526</v>
      </c>
      <c r="H163" s="28">
        <v>0.6549683397060349</v>
      </c>
    </row>
    <row r="164">
      <c r="A164" s="17" t="s">
        <v>332</v>
      </c>
      <c r="B164" s="18" t="str">
        <f>VLOOKUP($A164,Results!$A$2:$C$436,2,FALSE)</f>
        <v>Erin Houchin</v>
      </c>
      <c r="C164" s="19" t="str">
        <f>VLOOKUP($A164,Results!$A$2:$C$436,3,FALSE)</f>
        <v>(R)</v>
      </c>
      <c r="D164" s="27">
        <v>126197.00635627886</v>
      </c>
      <c r="E164" s="27">
        <v>223660.90791649622</v>
      </c>
      <c r="F164" s="27">
        <v>356695.72724390816</v>
      </c>
      <c r="G164" s="28">
        <v>0.35379455574466545</v>
      </c>
      <c r="H164" s="28">
        <v>0.6270355679465628</v>
      </c>
    </row>
    <row r="165">
      <c r="A165" s="17" t="s">
        <v>334</v>
      </c>
      <c r="B165" s="18" t="str">
        <f>VLOOKUP($A165,Results!$A$2:$C$436,2,FALSE)</f>
        <v>Tracey Mann</v>
      </c>
      <c r="C165" s="19" t="str">
        <f>VLOOKUP($A165,Results!$A$2:$C$436,3,FALSE)</f>
        <v>(R)</v>
      </c>
      <c r="D165" s="23">
        <v>110422.3207337825</v>
      </c>
      <c r="E165" s="23">
        <v>206363.86030206762</v>
      </c>
      <c r="F165" s="23">
        <v>323819.0962589276</v>
      </c>
      <c r="G165" s="24">
        <v>0.3410000275137825</v>
      </c>
      <c r="H165" s="24">
        <v>0.6372813175201314</v>
      </c>
    </row>
    <row r="166">
      <c r="A166" s="17" t="s">
        <v>336</v>
      </c>
      <c r="B166" s="18" t="str">
        <f>VLOOKUP($A166,Results!$A$2:$C$436,2,FALSE)</f>
        <v>Jake LaTurner</v>
      </c>
      <c r="C166" s="19" t="str">
        <f>VLOOKUP($A166,Results!$A$2:$C$436,3,FALSE)</f>
        <v>(R)</v>
      </c>
      <c r="D166" s="23">
        <v>130953.81709705116</v>
      </c>
      <c r="E166" s="23">
        <v>183352.48426801927</v>
      </c>
      <c r="F166" s="23">
        <v>321753.728371125</v>
      </c>
      <c r="G166" s="24">
        <v>0.4070001543105764</v>
      </c>
      <c r="H166" s="24">
        <v>0.5698534876230941</v>
      </c>
    </row>
    <row r="167">
      <c r="A167" s="17" t="s">
        <v>338</v>
      </c>
      <c r="B167" s="18" t="str">
        <f>VLOOKUP($A167,Results!$A$2:$C$436,2,FALSE)</f>
        <v>Sharice Davids</v>
      </c>
      <c r="C167" s="19" t="str">
        <f>VLOOKUP($A167,Results!$A$2:$C$436,3,FALSE)</f>
        <v>(D)</v>
      </c>
      <c r="D167" s="23">
        <v>205620.9790854666</v>
      </c>
      <c r="E167" s="23">
        <v>187731.19608139017</v>
      </c>
      <c r="F167" s="23">
        <v>401920.5317996777</v>
      </c>
      <c r="G167" s="24">
        <v>0.5115961062371173</v>
      </c>
      <c r="H167" s="24">
        <v>0.46708535948832236</v>
      </c>
    </row>
    <row r="168">
      <c r="A168" s="17" t="s">
        <v>340</v>
      </c>
      <c r="B168" s="18" t="str">
        <f>VLOOKUP($A168,Results!$A$2:$C$436,2,FALSE)</f>
        <v>Ron Estes</v>
      </c>
      <c r="C168" s="19" t="str">
        <f>VLOOKUP($A168,Results!$A$2:$C$436,3,FALSE)</f>
        <v>(R)</v>
      </c>
      <c r="D168" s="23">
        <v>123325.88308369975</v>
      </c>
      <c r="E168" s="23">
        <v>193958.45934852297</v>
      </c>
      <c r="F168" s="23">
        <v>324809.6435702697</v>
      </c>
      <c r="G168" s="24">
        <v>0.37968664269975494</v>
      </c>
      <c r="H168" s="24">
        <v>0.5971450145893276</v>
      </c>
    </row>
    <row r="169">
      <c r="A169" s="17" t="s">
        <v>342</v>
      </c>
      <c r="B169" s="18" t="str">
        <f>VLOOKUP($A169,Results!$A$2:$C$436,2,FALSE)</f>
        <v>James Comer</v>
      </c>
      <c r="C169" s="19" t="str">
        <f>VLOOKUP($A169,Results!$A$2:$C$436,3,FALSE)</f>
        <v>(R)</v>
      </c>
      <c r="D169" s="27">
        <v>98099.94882</v>
      </c>
      <c r="E169" s="27">
        <v>248459.5917</v>
      </c>
      <c r="F169" s="27">
        <v>351824.3481</v>
      </c>
      <c r="G169" s="28">
        <v>0.278832177</v>
      </c>
      <c r="H169" s="28">
        <v>0.706203516</v>
      </c>
    </row>
    <row r="170">
      <c r="A170" s="17" t="s">
        <v>344</v>
      </c>
      <c r="B170" s="18" t="str">
        <f>VLOOKUP($A170,Results!$A$2:$C$436,2,FALSE)</f>
        <v>Brett Guthrie</v>
      </c>
      <c r="C170" s="19" t="str">
        <f>VLOOKUP($A170,Results!$A$2:$C$436,3,FALSE)</f>
        <v>(R)</v>
      </c>
      <c r="D170" s="27">
        <v>108501.6081</v>
      </c>
      <c r="E170" s="27">
        <v>237998.4923</v>
      </c>
      <c r="F170" s="27">
        <v>352498.4258</v>
      </c>
      <c r="G170" s="28">
        <v>0.307807355</v>
      </c>
      <c r="H170" s="28">
        <v>0.675176043</v>
      </c>
    </row>
    <row r="171">
      <c r="A171" s="17" t="s">
        <v>346</v>
      </c>
      <c r="B171" s="18" t="str">
        <f>VLOOKUP($A171,Results!$A$2:$C$436,2,FALSE)</f>
        <v>Morgan McGarvey</v>
      </c>
      <c r="C171" s="19" t="str">
        <f>VLOOKUP($A171,Results!$A$2:$C$436,3,FALSE)</f>
        <v>(D)</v>
      </c>
      <c r="D171" s="27">
        <v>220429.2788</v>
      </c>
      <c r="E171" s="27">
        <v>138649.245</v>
      </c>
      <c r="F171" s="27">
        <v>365965.0057</v>
      </c>
      <c r="G171" s="28">
        <v>0.602323379</v>
      </c>
      <c r="H171" s="28">
        <v>0.378859298</v>
      </c>
    </row>
    <row r="172">
      <c r="A172" s="17" t="s">
        <v>348</v>
      </c>
      <c r="B172" s="18" t="str">
        <f>VLOOKUP($A172,Results!$A$2:$C$436,2,FALSE)</f>
        <v>Thomas Massie</v>
      </c>
      <c r="C172" s="19" t="str">
        <f>VLOOKUP($A172,Results!$A$2:$C$436,3,FALSE)</f>
        <v>(R)</v>
      </c>
      <c r="D172" s="27">
        <v>122980.2289</v>
      </c>
      <c r="E172" s="27">
        <v>244776.8024</v>
      </c>
      <c r="F172" s="27">
        <v>374536.5458</v>
      </c>
      <c r="G172" s="28">
        <v>0.328353081</v>
      </c>
      <c r="H172" s="28">
        <v>0.653545842</v>
      </c>
    </row>
    <row r="173">
      <c r="A173" s="17" t="s">
        <v>350</v>
      </c>
      <c r="B173" s="18" t="str">
        <f>VLOOKUP($A173,Results!$A$2:$C$436,2,FALSE)</f>
        <v>Hal Rogers</v>
      </c>
      <c r="C173" s="19" t="str">
        <f>VLOOKUP($A173,Results!$A$2:$C$436,3,FALSE)</f>
        <v>(R)</v>
      </c>
      <c r="D173" s="27">
        <v>64435.01453</v>
      </c>
      <c r="E173" s="27">
        <v>258817.4592</v>
      </c>
      <c r="F173" s="27">
        <v>327397.1617</v>
      </c>
      <c r="G173" s="28">
        <v>0.196809936</v>
      </c>
      <c r="H173" s="28">
        <v>0.790530553</v>
      </c>
    </row>
    <row r="174">
      <c r="A174" s="17" t="s">
        <v>352</v>
      </c>
      <c r="B174" s="18" t="str">
        <f>VLOOKUP($A174,Results!$A$2:$C$436,2,FALSE)</f>
        <v>Andy Barr</v>
      </c>
      <c r="C174" s="19" t="str">
        <f>VLOOKUP($A174,Results!$A$2:$C$436,3,FALSE)</f>
        <v>(R)</v>
      </c>
      <c r="D174" s="27">
        <v>158027.9208</v>
      </c>
      <c r="E174" s="27">
        <v>197944.4095</v>
      </c>
      <c r="F174" s="27">
        <v>363214.5129</v>
      </c>
      <c r="G174" s="28">
        <v>0.435081516</v>
      </c>
      <c r="H174" s="28">
        <v>0.544979351</v>
      </c>
    </row>
    <row r="175">
      <c r="A175" s="17" t="s">
        <v>354</v>
      </c>
      <c r="B175" s="18" t="str">
        <f>VLOOKUP($A175,Results!$A$2:$C$436,2,FALSE)</f>
        <v>Steve Scalise</v>
      </c>
      <c r="C175" s="19" t="str">
        <f>VLOOKUP($A175,Results!$A$2:$C$436,3,FALSE)</f>
        <v>(R)</v>
      </c>
      <c r="D175" s="23">
        <v>111740.78154857006</v>
      </c>
      <c r="E175" s="23">
        <v>258790.0293595237</v>
      </c>
      <c r="F175" s="23">
        <v>377529.3035372332</v>
      </c>
      <c r="G175" s="24">
        <v>0.2959790948719026</v>
      </c>
      <c r="H175" s="24">
        <v>0.685483290793084</v>
      </c>
    </row>
    <row r="176">
      <c r="A176" s="17" t="s">
        <v>356</v>
      </c>
      <c r="B176" s="18" t="str">
        <f>VLOOKUP($A176,Results!$A$2:$C$436,2,FALSE)</f>
        <v>Troy Carter</v>
      </c>
      <c r="C176" s="19" t="str">
        <f>VLOOKUP($A176,Results!$A$2:$C$436,3,FALSE)</f>
        <v>(D)</v>
      </c>
      <c r="D176" s="23">
        <v>260653.4840244236</v>
      </c>
      <c r="E176" s="23">
        <v>79317.70081970173</v>
      </c>
      <c r="F176" s="23">
        <v>345721.782712292</v>
      </c>
      <c r="G176" s="24">
        <v>0.7539400091585731</v>
      </c>
      <c r="H176" s="24">
        <v>0.22942639077419527</v>
      </c>
    </row>
    <row r="177">
      <c r="A177" s="17" t="s">
        <v>358</v>
      </c>
      <c r="B177" s="18" t="str">
        <f>VLOOKUP($A177,Results!$A$2:$C$436,2,FALSE)</f>
        <v>Clay Higgins</v>
      </c>
      <c r="C177" s="19" t="str">
        <f>VLOOKUP($A177,Results!$A$2:$C$436,3,FALSE)</f>
        <v>(R)</v>
      </c>
      <c r="D177" s="23">
        <v>106758.92497729724</v>
      </c>
      <c r="E177" s="23">
        <v>239365.98146736162</v>
      </c>
      <c r="F177" s="23">
        <v>352215.5926772759</v>
      </c>
      <c r="G177" s="24">
        <v>0.30310675392249625</v>
      </c>
      <c r="H177" s="24">
        <v>0.6796007514825875</v>
      </c>
    </row>
    <row r="178">
      <c r="A178" s="17" t="s">
        <v>360</v>
      </c>
      <c r="B178" s="18" t="str">
        <f>VLOOKUP($A178,Results!$A$2:$C$436,2,FALSE)</f>
        <v>Mike Johnson</v>
      </c>
      <c r="C178" s="19" t="str">
        <f>VLOOKUP($A178,Results!$A$2:$C$436,3,FALSE)</f>
        <v>(R)</v>
      </c>
      <c r="D178" s="23">
        <v>130910.38206809043</v>
      </c>
      <c r="E178" s="23">
        <v>215850.4377830056</v>
      </c>
      <c r="F178" s="23">
        <v>352106.0994773026</v>
      </c>
      <c r="G178" s="24">
        <v>0.3717924292206962</v>
      </c>
      <c r="H178" s="24">
        <v>0.6130266931002702</v>
      </c>
    </row>
    <row r="179">
      <c r="A179" s="17" t="s">
        <v>362</v>
      </c>
      <c r="B179" s="18" t="str">
        <f>VLOOKUP($A179,Results!$A$2:$C$436,2,FALSE)</f>
        <v>Julia Letlow</v>
      </c>
      <c r="C179" s="19" t="str">
        <f>VLOOKUP($A179,Results!$A$2:$C$436,3,FALSE)</f>
        <v>(R)</v>
      </c>
      <c r="D179" s="23">
        <v>120707.02725475669</v>
      </c>
      <c r="E179" s="23">
        <v>224649.71582694148</v>
      </c>
      <c r="F179" s="23">
        <v>350509.91226120177</v>
      </c>
      <c r="G179" s="24">
        <v>0.3443755027527016</v>
      </c>
      <c r="H179" s="24">
        <v>0.6409225758486721</v>
      </c>
    </row>
    <row r="180">
      <c r="A180" s="17" t="s">
        <v>364</v>
      </c>
      <c r="B180" s="18" t="str">
        <f>VLOOKUP($A180,Results!$A$2:$C$436,2,FALSE)</f>
        <v>Garret Graves</v>
      </c>
      <c r="C180" s="19" t="str">
        <f>VLOOKUP($A180,Results!$A$2:$C$436,3,FALSE)</f>
        <v>(R)</v>
      </c>
      <c r="D180" s="23">
        <v>125263.40012686193</v>
      </c>
      <c r="E180" s="23">
        <v>237802.1347434659</v>
      </c>
      <c r="F180" s="23">
        <v>369979.30933469464</v>
      </c>
      <c r="G180" s="24">
        <v>0.33856866307500677</v>
      </c>
      <c r="H180" s="24">
        <v>0.6427444150081992</v>
      </c>
    </row>
    <row r="181">
      <c r="A181" s="17" t="s">
        <v>366</v>
      </c>
      <c r="B181" s="18" t="str">
        <f>VLOOKUP($A181,Results!$A$2:$C$436,2,FALSE)</f>
        <v>Richard Neal</v>
      </c>
      <c r="C181" s="19" t="str">
        <f>VLOOKUP($A181,Results!$A$2:$C$436,3,FALSE)</f>
        <v>(D)</v>
      </c>
      <c r="D181" s="23">
        <v>235190.39414567733</v>
      </c>
      <c r="E181" s="23">
        <v>150036.60585432267</v>
      </c>
      <c r="F181" s="23">
        <v>393140.5582028591</v>
      </c>
      <c r="G181" s="24">
        <v>0.5982348786927243</v>
      </c>
      <c r="H181" s="24">
        <v>0.38163604014853214</v>
      </c>
    </row>
    <row r="182">
      <c r="A182" s="17" t="s">
        <v>368</v>
      </c>
      <c r="B182" s="18" t="str">
        <f>VLOOKUP($A182,Results!$A$2:$C$436,2,FALSE)</f>
        <v>Jim McGovern</v>
      </c>
      <c r="C182" s="19" t="str">
        <f>VLOOKUP($A182,Results!$A$2:$C$436,3,FALSE)</f>
        <v>(D)</v>
      </c>
      <c r="D182" s="23">
        <v>254528.24161591206</v>
      </c>
      <c r="E182" s="23">
        <v>132546.22006809927</v>
      </c>
      <c r="F182" s="23">
        <v>395664.74264860735</v>
      </c>
      <c r="G182" s="24">
        <v>0.6432927025847244</v>
      </c>
      <c r="H182" s="24">
        <v>0.33499628797053194</v>
      </c>
    </row>
    <row r="183">
      <c r="A183" s="17" t="s">
        <v>370</v>
      </c>
      <c r="B183" s="18" t="str">
        <f>VLOOKUP($A183,Results!$A$2:$C$436,2,FALSE)</f>
        <v>Lori Trahan</v>
      </c>
      <c r="C183" s="19" t="str">
        <f>VLOOKUP($A183,Results!$A$2:$C$436,3,FALSE)</f>
        <v>(D)</v>
      </c>
      <c r="D183" s="23">
        <v>233536.1431346272</v>
      </c>
      <c r="E183" s="23">
        <v>131375.37886758152</v>
      </c>
      <c r="F183" s="23">
        <v>372675.8602037228</v>
      </c>
      <c r="G183" s="24">
        <v>0.6266468211999698</v>
      </c>
      <c r="H183" s="24">
        <v>0.35251915376479</v>
      </c>
    </row>
    <row r="184">
      <c r="A184" s="17" t="s">
        <v>372</v>
      </c>
      <c r="B184" s="18" t="str">
        <f>VLOOKUP($A184,Results!$A$2:$C$436,2,FALSE)</f>
        <v>Jake Auchincloss</v>
      </c>
      <c r="C184" s="19" t="str">
        <f>VLOOKUP($A184,Results!$A$2:$C$436,3,FALSE)</f>
        <v>(D)</v>
      </c>
      <c r="D184" s="23">
        <v>263668.7704567726</v>
      </c>
      <c r="E184" s="23">
        <v>145121.35039371205</v>
      </c>
      <c r="F184" s="23">
        <v>416487.3375194629</v>
      </c>
      <c r="G184" s="24">
        <v>0.6330775193002142</v>
      </c>
      <c r="H184" s="24">
        <v>0.34844120653951544</v>
      </c>
    </row>
    <row r="185">
      <c r="A185" s="17" t="s">
        <v>374</v>
      </c>
      <c r="B185" s="18" t="str">
        <f>VLOOKUP($A185,Results!$A$2:$C$436,2,FALSE)</f>
        <v>Katherine Clark</v>
      </c>
      <c r="C185" s="19" t="str">
        <f>VLOOKUP($A185,Results!$A$2:$C$436,3,FALSE)</f>
        <v>(D)</v>
      </c>
      <c r="D185" s="23">
        <v>298841.6892229609</v>
      </c>
      <c r="E185" s="23">
        <v>94404.96399371195</v>
      </c>
      <c r="F185" s="23">
        <v>399702.7026818454</v>
      </c>
      <c r="G185" s="24">
        <v>0.7476599162774047</v>
      </c>
      <c r="H185" s="24">
        <v>0.23618795509835777</v>
      </c>
    </row>
    <row r="186">
      <c r="A186" s="17" t="s">
        <v>376</v>
      </c>
      <c r="B186" s="18" t="str">
        <f>VLOOKUP($A186,Results!$A$2:$C$436,2,FALSE)</f>
        <v>Seth Moulton</v>
      </c>
      <c r="C186" s="19" t="str">
        <f>VLOOKUP($A186,Results!$A$2:$C$436,3,FALSE)</f>
        <v>(D)</v>
      </c>
      <c r="D186" s="23">
        <v>283226.01236098434</v>
      </c>
      <c r="E186" s="23">
        <v>158963.33434927135</v>
      </c>
      <c r="F186" s="23">
        <v>450069.9856747329</v>
      </c>
      <c r="G186" s="24">
        <v>0.6292932685488446</v>
      </c>
      <c r="H186" s="24">
        <v>0.35319692360946436</v>
      </c>
    </row>
    <row r="187">
      <c r="A187" s="17" t="s">
        <v>378</v>
      </c>
      <c r="B187" s="18" t="str">
        <f>VLOOKUP($A187,Results!$A$2:$C$436,2,FALSE)</f>
        <v>Ayanna Pressley</v>
      </c>
      <c r="C187" s="19" t="str">
        <f>VLOOKUP($A187,Results!$A$2:$C$436,3,FALSE)</f>
        <v>(D)</v>
      </c>
      <c r="D187" s="23">
        <v>269381.26498181414</v>
      </c>
      <c r="E187" s="23">
        <v>41245.398645167916</v>
      </c>
      <c r="F187" s="23">
        <v>314904.2295887236</v>
      </c>
      <c r="G187" s="24">
        <v>0.8554387006285559</v>
      </c>
      <c r="H187" s="24">
        <v>0.13097759499463033</v>
      </c>
    </row>
    <row r="188">
      <c r="A188" s="17" t="s">
        <v>380</v>
      </c>
      <c r="B188" s="18" t="str">
        <f>VLOOKUP($A188,Results!$A$2:$C$436,2,FALSE)</f>
        <v>Stephen Lynch</v>
      </c>
      <c r="C188" s="19" t="str">
        <f>VLOOKUP($A188,Results!$A$2:$C$436,3,FALSE)</f>
        <v>(D)</v>
      </c>
      <c r="D188" s="23">
        <v>277533.6997281806</v>
      </c>
      <c r="E188" s="23">
        <v>130407.31596979461</v>
      </c>
      <c r="F188" s="23">
        <v>414843.8449368691</v>
      </c>
      <c r="G188" s="24">
        <v>0.6690076353197807</v>
      </c>
      <c r="H188" s="24">
        <v>0.3143527801157083</v>
      </c>
    </row>
    <row r="189">
      <c r="A189" s="17" t="s">
        <v>382</v>
      </c>
      <c r="B189" s="18" t="str">
        <f>VLOOKUP($A189,Results!$A$2:$C$436,2,FALSE)</f>
        <v>Bill Keating</v>
      </c>
      <c r="C189" s="19" t="str">
        <f>VLOOKUP($A189,Results!$A$2:$C$436,3,FALSE)</f>
        <v>(D)</v>
      </c>
      <c r="D189" s="23">
        <v>266295.7843530708</v>
      </c>
      <c r="E189" s="23">
        <v>183101.43185833865</v>
      </c>
      <c r="F189" s="23">
        <v>457585.7385431769</v>
      </c>
      <c r="G189" s="24">
        <v>0.5819582253609586</v>
      </c>
      <c r="H189" s="24">
        <v>0.40014671882319064</v>
      </c>
    </row>
    <row r="190">
      <c r="A190" s="17" t="s">
        <v>384</v>
      </c>
      <c r="B190" s="18" t="str">
        <f>VLOOKUP($A190,Results!$A$2:$C$436,2,FALSE)</f>
        <v>Andy Harris</v>
      </c>
      <c r="C190" s="19" t="str">
        <f>VLOOKUP($A190,Results!$A$2:$C$436,3,FALSE)</f>
        <v>(R)</v>
      </c>
      <c r="D190" s="23">
        <v>171268.2826578397</v>
      </c>
      <c r="E190" s="23">
        <v>230930.15314015833</v>
      </c>
      <c r="F190" s="23">
        <v>410538.57247165265</v>
      </c>
      <c r="G190" s="24">
        <v>0.4171795152565491</v>
      </c>
      <c r="H190" s="24">
        <v>0.5625053737334361</v>
      </c>
    </row>
    <row r="191">
      <c r="A191" s="17" t="s">
        <v>386</v>
      </c>
      <c r="B191" s="18" t="str">
        <f>VLOOKUP($A191,Results!$A$2:$C$436,2,FALSE)</f>
        <v>Dutch Ruppersberger</v>
      </c>
      <c r="C191" s="19" t="str">
        <f>VLOOKUP($A191,Results!$A$2:$C$436,3,FALSE)</f>
        <v>(D)</v>
      </c>
      <c r="D191" s="23">
        <v>232383.58642533503</v>
      </c>
      <c r="E191" s="23">
        <v>150926.7911376491</v>
      </c>
      <c r="F191" s="23">
        <v>391029.25633225346</v>
      </c>
      <c r="G191" s="24">
        <v>0.594286955930175</v>
      </c>
      <c r="H191" s="24">
        <v>0.3859731431691346</v>
      </c>
    </row>
    <row r="192">
      <c r="A192" s="17" t="s">
        <v>388</v>
      </c>
      <c r="B192" s="18" t="str">
        <f>VLOOKUP($A192,Results!$A$2:$C$436,2,FALSE)</f>
        <v>John Sarbanes</v>
      </c>
      <c r="C192" s="19" t="str">
        <f>VLOOKUP($A192,Results!$A$2:$C$436,3,FALSE)</f>
        <v>(D)</v>
      </c>
      <c r="D192" s="23">
        <v>255249.4354705519</v>
      </c>
      <c r="E192" s="23">
        <v>149742.6976896098</v>
      </c>
      <c r="F192" s="23">
        <v>413424.8105432961</v>
      </c>
      <c r="G192" s="24">
        <v>0.6174023158772682</v>
      </c>
      <c r="H192" s="24">
        <v>0.36220055949914487</v>
      </c>
    </row>
    <row r="193">
      <c r="A193" s="17" t="s">
        <v>390</v>
      </c>
      <c r="B193" s="18" t="str">
        <f>VLOOKUP($A193,Results!$A$2:$C$436,2,FALSE)</f>
        <v>Glenn Ivey</v>
      </c>
      <c r="C193" s="19" t="str">
        <f>VLOOKUP($A193,Results!$A$2:$C$436,3,FALSE)</f>
        <v>(D)</v>
      </c>
      <c r="D193" s="23">
        <v>271589.4049836646</v>
      </c>
      <c r="E193" s="23">
        <v>26246.52350494216</v>
      </c>
      <c r="F193" s="23">
        <v>302947.37674825045</v>
      </c>
      <c r="G193" s="24">
        <v>0.8964903670691152</v>
      </c>
      <c r="H193" s="24">
        <v>0.08663723642919359</v>
      </c>
    </row>
    <row r="194">
      <c r="A194" s="17" t="s">
        <v>392</v>
      </c>
      <c r="B194" s="18" t="str">
        <f>VLOOKUP($A194,Results!$A$2:$C$436,2,FALSE)</f>
        <v>Steny Hoyer</v>
      </c>
      <c r="C194" s="19" t="str">
        <f>VLOOKUP($A194,Results!$A$2:$C$436,3,FALSE)</f>
        <v>(D)</v>
      </c>
      <c r="D194" s="23">
        <v>280897.8407350857</v>
      </c>
      <c r="E194" s="23">
        <v>128845.6380938516</v>
      </c>
      <c r="F194" s="23">
        <v>416760.6530581828</v>
      </c>
      <c r="G194" s="24">
        <v>0.6740027847491408</v>
      </c>
      <c r="H194" s="24">
        <v>0.309159795072746</v>
      </c>
    </row>
    <row r="195">
      <c r="A195" s="17" t="s">
        <v>394</v>
      </c>
      <c r="B195" s="18" t="str">
        <f>VLOOKUP($A195,Results!$A$2:$C$436,2,FALSE)</f>
        <v>David Trone</v>
      </c>
      <c r="C195" s="19" t="str">
        <f>VLOOKUP($A195,Results!$A$2:$C$436,3,FALSE)</f>
        <v>(D)</v>
      </c>
      <c r="D195" s="23">
        <v>200374.9163910588</v>
      </c>
      <c r="E195" s="23">
        <v>163848.32682426414</v>
      </c>
      <c r="F195" s="23">
        <v>371675.5210615543</v>
      </c>
      <c r="G195" s="24">
        <v>0.5391124920434943</v>
      </c>
      <c r="H195" s="24">
        <v>0.4408370138455492</v>
      </c>
    </row>
    <row r="196">
      <c r="A196" s="17" t="s">
        <v>396</v>
      </c>
      <c r="B196" s="18" t="str">
        <f>VLOOKUP($A196,Results!$A$2:$C$436,2,FALSE)</f>
        <v>Kweisi Mfume</v>
      </c>
      <c r="C196" s="19" t="str">
        <f>VLOOKUP($A196,Results!$A$2:$C$436,3,FALSE)</f>
        <v>(D)</v>
      </c>
      <c r="D196" s="23">
        <v>251751.19532360492</v>
      </c>
      <c r="E196" s="23">
        <v>54327.09640015871</v>
      </c>
      <c r="F196" s="23">
        <v>310935.72712829744</v>
      </c>
      <c r="G196" s="24">
        <v>0.8096567018807975</v>
      </c>
      <c r="H196" s="24">
        <v>0.17472130623877266</v>
      </c>
    </row>
    <row r="197">
      <c r="A197" s="17" t="s">
        <v>398</v>
      </c>
      <c r="B197" s="18" t="str">
        <f>VLOOKUP($A197,Results!$A$2:$C$436,2,FALSE)</f>
        <v>Jamie Raskin</v>
      </c>
      <c r="C197" s="19" t="str">
        <f>VLOOKUP($A197,Results!$A$2:$C$436,3,FALSE)</f>
        <v>(D)</v>
      </c>
      <c r="D197" s="23">
        <v>321508.33801285946</v>
      </c>
      <c r="E197" s="23">
        <v>71546.7732093662</v>
      </c>
      <c r="F197" s="23">
        <v>399296.08265651297</v>
      </c>
      <c r="G197" s="24">
        <v>0.8051878091912839</v>
      </c>
      <c r="H197" s="24">
        <v>0.17918225676887742</v>
      </c>
    </row>
    <row r="198">
      <c r="A198" s="17" t="s">
        <v>400</v>
      </c>
      <c r="B198" s="18" t="str">
        <f>VLOOKUP($A198,Results!$A$2:$C$436,2,FALSE)</f>
        <v>Chellie Pingree</v>
      </c>
      <c r="C198" s="19" t="str">
        <f>VLOOKUP($A198,Results!$A$2:$C$436,3,FALSE)</f>
        <v>(D)</v>
      </c>
      <c r="D198" s="23">
        <v>258001.39005440185</v>
      </c>
      <c r="E198" s="23">
        <v>159932.25628570555</v>
      </c>
      <c r="F198" s="23">
        <v>430096.36263853835</v>
      </c>
      <c r="G198" s="24">
        <v>0.5998688025902498</v>
      </c>
      <c r="H198" s="24">
        <v>0.3718521479804186</v>
      </c>
    </row>
    <row r="199">
      <c r="A199" s="17" t="s">
        <v>402</v>
      </c>
      <c r="B199" s="18" t="str">
        <f>VLOOKUP($A199,Results!$A$2:$C$436,2,FALSE)</f>
        <v>Jared Golden</v>
      </c>
      <c r="C199" s="19" t="str">
        <f>VLOOKUP($A199,Results!$A$2:$C$436,3,FALSE)</f>
        <v>(D)</v>
      </c>
      <c r="D199" s="23">
        <v>177070.04911942186</v>
      </c>
      <c r="E199" s="23">
        <v>200802.9404996076</v>
      </c>
      <c r="F199" s="23">
        <v>389277.66758513113</v>
      </c>
      <c r="G199" s="24">
        <v>0.45486824409391124</v>
      </c>
      <c r="H199" s="24">
        <v>0.5158347298607722</v>
      </c>
    </row>
    <row r="200">
      <c r="A200" s="17" t="s">
        <v>404</v>
      </c>
      <c r="B200" s="18" t="str">
        <f>VLOOKUP($A200,Results!$A$2:$C$436,2,FALSE)</f>
        <v>Jack Bergman</v>
      </c>
      <c r="C200" s="19" t="str">
        <f>VLOOKUP($A200,Results!$A$2:$C$436,3,FALSE)</f>
        <v>(R)</v>
      </c>
      <c r="D200" s="23">
        <v>182977.27128263336</v>
      </c>
      <c r="E200" s="23">
        <v>274971.06583427923</v>
      </c>
      <c r="F200" s="23">
        <v>465104.0851305335</v>
      </c>
      <c r="G200" s="24">
        <v>0.39341144731351907</v>
      </c>
      <c r="H200" s="24">
        <v>0.5912032911022645</v>
      </c>
    </row>
    <row r="201">
      <c r="A201" s="17" t="s">
        <v>406</v>
      </c>
      <c r="B201" s="18" t="str">
        <f>VLOOKUP($A201,Results!$A$2:$C$436,2,FALSE)</f>
        <v>John Moolenaar</v>
      </c>
      <c r="C201" s="19" t="str">
        <f>VLOOKUP($A201,Results!$A$2:$C$436,3,FALSE)</f>
        <v>(R)</v>
      </c>
      <c r="D201" s="23">
        <v>145195.8354052767</v>
      </c>
      <c r="E201" s="23">
        <v>262155.3319913647</v>
      </c>
      <c r="F201" s="23">
        <v>414538.0599374686</v>
      </c>
      <c r="G201" s="24">
        <v>0.35025935960422766</v>
      </c>
      <c r="H201" s="24">
        <v>0.6324035289568098</v>
      </c>
    </row>
    <row r="202">
      <c r="A202" s="17" t="s">
        <v>408</v>
      </c>
      <c r="B202" s="18" t="str">
        <f>VLOOKUP($A202,Results!$A$2:$C$436,2,FALSE)</f>
        <v>Hillary Scholten</v>
      </c>
      <c r="C202" s="19" t="str">
        <f>VLOOKUP($A202,Results!$A$2:$C$436,3,FALSE)</f>
        <v>(D)</v>
      </c>
      <c r="D202" s="23">
        <v>222097.76055541157</v>
      </c>
      <c r="E202" s="23">
        <v>186700.6579842546</v>
      </c>
      <c r="F202" s="23">
        <v>416905.6271929025</v>
      </c>
      <c r="G202" s="24">
        <v>0.5327291023890325</v>
      </c>
      <c r="H202" s="24">
        <v>0.4478247493115944</v>
      </c>
    </row>
    <row r="203">
      <c r="A203" s="17" t="s">
        <v>410</v>
      </c>
      <c r="B203" s="18" t="str">
        <f>VLOOKUP($A203,Results!$A$2:$C$436,2,FALSE)</f>
        <v>Bill Huizenga</v>
      </c>
      <c r="C203" s="19" t="str">
        <f>VLOOKUP($A203,Results!$A$2:$C$436,3,FALSE)</f>
        <v>(R)</v>
      </c>
      <c r="D203" s="23">
        <v>196696.0</v>
      </c>
      <c r="E203" s="23">
        <v>213155.0</v>
      </c>
      <c r="F203" s="23">
        <v>417516.0</v>
      </c>
      <c r="G203" s="24">
        <v>0.4711042355837414</v>
      </c>
      <c r="H203" s="24">
        <v>0.5105367371178126</v>
      </c>
    </row>
    <row r="204">
      <c r="A204" s="17" t="s">
        <v>412</v>
      </c>
      <c r="B204" s="18" t="str">
        <f>VLOOKUP($A204,Results!$A$2:$C$436,2,FALSE)</f>
        <v>Tim Walberg</v>
      </c>
      <c r="C204" s="19" t="str">
        <f>VLOOKUP($A204,Results!$A$2:$C$436,3,FALSE)</f>
        <v>(R)</v>
      </c>
      <c r="D204" s="23">
        <v>150367.543894955</v>
      </c>
      <c r="E204" s="23">
        <v>248430.13833504947</v>
      </c>
      <c r="F204" s="23">
        <v>405836.2806509504</v>
      </c>
      <c r="G204" s="24">
        <v>0.3705128177642706</v>
      </c>
      <c r="H204" s="24">
        <v>0.6121437391860931</v>
      </c>
    </row>
    <row r="205">
      <c r="A205" s="17" t="s">
        <v>414</v>
      </c>
      <c r="B205" s="18" t="str">
        <f>VLOOKUP($A205,Results!$A$2:$C$436,2,FALSE)</f>
        <v>Debbie Dingell</v>
      </c>
      <c r="C205" s="19" t="str">
        <f>VLOOKUP($A205,Results!$A$2:$C$436,3,FALSE)</f>
        <v>(D)</v>
      </c>
      <c r="D205" s="23">
        <v>286146.120551188</v>
      </c>
      <c r="E205" s="23">
        <v>164381.47834421648</v>
      </c>
      <c r="F205" s="23">
        <v>456502.61709653446</v>
      </c>
      <c r="G205" s="24">
        <v>0.6268225193781923</v>
      </c>
      <c r="H205" s="24">
        <v>0.3600887972772684</v>
      </c>
    </row>
    <row r="206">
      <c r="A206" s="17" t="s">
        <v>416</v>
      </c>
      <c r="B206" s="18" t="str">
        <f>VLOOKUP($A206,Results!$A$2:$C$436,2,FALSE)</f>
        <v>Elissa Slotkin</v>
      </c>
      <c r="C206" s="19" t="str">
        <f>VLOOKUP($A206,Results!$A$2:$C$436,3,FALSE)</f>
        <v>(D)</v>
      </c>
      <c r="D206" s="23">
        <v>219465.03444631412</v>
      </c>
      <c r="E206" s="23">
        <v>217140.9791913316</v>
      </c>
      <c r="F206" s="23">
        <v>444295.65695571713</v>
      </c>
      <c r="G206" s="24">
        <v>0.4939616919734783</v>
      </c>
      <c r="H206" s="24">
        <v>0.4887308164999101</v>
      </c>
    </row>
    <row r="207">
      <c r="A207" s="17" t="s">
        <v>418</v>
      </c>
      <c r="B207" s="18" t="str">
        <f>VLOOKUP($A207,Results!$A$2:$C$436,2,FALSE)</f>
        <v>Dan Kildee</v>
      </c>
      <c r="C207" s="19" t="str">
        <f>VLOOKUP($A207,Results!$A$2:$C$436,3,FALSE)</f>
        <v>(D)</v>
      </c>
      <c r="D207" s="23">
        <v>215709.84530682303</v>
      </c>
      <c r="E207" s="23">
        <v>207002.6504199399</v>
      </c>
      <c r="F207" s="23">
        <v>429213.2450671942</v>
      </c>
      <c r="G207" s="24">
        <v>0.5025703372062836</v>
      </c>
      <c r="H207" s="24">
        <v>0.4822839294894854</v>
      </c>
    </row>
    <row r="208">
      <c r="A208" s="17" t="s">
        <v>420</v>
      </c>
      <c r="B208" s="18" t="str">
        <f>VLOOKUP($A208,Results!$A$2:$C$436,2,FALSE)</f>
        <v>Lisa McClain</v>
      </c>
      <c r="C208" s="19" t="str">
        <f>VLOOKUP($A208,Results!$A$2:$C$436,3,FALSE)</f>
        <v>(R)</v>
      </c>
      <c r="D208" s="23">
        <v>160590.4808257705</v>
      </c>
      <c r="E208" s="23">
        <v>297475.28342783684</v>
      </c>
      <c r="F208" s="23">
        <v>464737.4804977806</v>
      </c>
      <c r="G208" s="24">
        <v>0.3455509563243359</v>
      </c>
      <c r="H208" s="24">
        <v>0.6400931620776764</v>
      </c>
    </row>
    <row r="209">
      <c r="A209" s="17" t="s">
        <v>422</v>
      </c>
      <c r="B209" s="18" t="str">
        <f>VLOOKUP($A209,Results!$A$2:$C$436,2,FALSE)</f>
        <v>John James</v>
      </c>
      <c r="C209" s="19" t="str">
        <f>VLOOKUP($A209,Results!$A$2:$C$436,3,FALSE)</f>
        <v>(R)</v>
      </c>
      <c r="D209" s="23">
        <v>209969.0</v>
      </c>
      <c r="E209" s="23">
        <v>214177.0</v>
      </c>
      <c r="F209" s="23">
        <v>429829.0</v>
      </c>
      <c r="G209" s="24">
        <v>0.48849426167150195</v>
      </c>
      <c r="H209" s="24">
        <v>0.49828420139171625</v>
      </c>
    </row>
    <row r="210">
      <c r="A210" s="17" t="s">
        <v>424</v>
      </c>
      <c r="B210" s="18" t="str">
        <f>VLOOKUP($A210,Results!$A$2:$C$436,2,FALSE)</f>
        <v>Haley Stevens</v>
      </c>
      <c r="C210" s="19" t="str">
        <f>VLOOKUP($A210,Results!$A$2:$C$436,3,FALSE)</f>
        <v>(D)</v>
      </c>
      <c r="D210" s="23">
        <v>273914.61827655794</v>
      </c>
      <c r="E210" s="23">
        <v>182229.45040131384</v>
      </c>
      <c r="F210" s="23">
        <v>462280.30171144934</v>
      </c>
      <c r="G210" s="24">
        <v>0.592529288534411</v>
      </c>
      <c r="H210" s="24">
        <v>0.3941968752003186</v>
      </c>
    </row>
    <row r="211">
      <c r="A211" s="17" t="s">
        <v>426</v>
      </c>
      <c r="B211" s="18" t="str">
        <f>VLOOKUP($A211,Results!$A$2:$C$436,2,FALSE)</f>
        <v>Rashida Tlaib</v>
      </c>
      <c r="C211" s="19" t="str">
        <f>VLOOKUP($A211,Results!$A$2:$C$436,3,FALSE)</f>
        <v>(D)</v>
      </c>
      <c r="D211" s="23">
        <v>285642.14895534073</v>
      </c>
      <c r="E211" s="23">
        <v>97507.70923142077</v>
      </c>
      <c r="F211" s="23">
        <v>387608.9717856557</v>
      </c>
      <c r="G211" s="24">
        <v>0.7369337908754555</v>
      </c>
      <c r="H211" s="24">
        <v>0.2515620543616871</v>
      </c>
    </row>
    <row r="212">
      <c r="A212" s="17" t="s">
        <v>428</v>
      </c>
      <c r="B212" s="18" t="str">
        <f>VLOOKUP($A212,Results!$A$2:$C$436,2,FALSE)</f>
        <v>Shri Thanedar</v>
      </c>
      <c r="C212" s="19" t="str">
        <f>VLOOKUP($A212,Results!$A$2:$C$436,3,FALSE)</f>
        <v>(D)</v>
      </c>
      <c r="D212" s="23">
        <v>252696.94548910373</v>
      </c>
      <c r="E212" s="23">
        <v>83907.42410191256</v>
      </c>
      <c r="F212" s="23">
        <v>340610.38376989984</v>
      </c>
      <c r="G212" s="24">
        <v>0.7418944269761716</v>
      </c>
      <c r="H212" s="24">
        <v>0.2463442927758668</v>
      </c>
    </row>
    <row r="213">
      <c r="A213" s="17" t="s">
        <v>430</v>
      </c>
      <c r="B213" s="18" t="str">
        <f>VLOOKUP($A213,Results!$A$2:$C$436,2,FALSE)</f>
        <v>Brad Finstad</v>
      </c>
      <c r="C213" s="19" t="str">
        <f>VLOOKUP($A213,Results!$A$2:$C$436,3,FALSE)</f>
        <v>(R)</v>
      </c>
      <c r="D213" s="23">
        <v>172285.09203348187</v>
      </c>
      <c r="E213" s="23">
        <v>208058.26756340315</v>
      </c>
      <c r="F213" s="23">
        <v>388717.69379086327</v>
      </c>
      <c r="G213" s="24">
        <v>0.44321391792927795</v>
      </c>
      <c r="H213" s="24">
        <v>0.5352425960711272</v>
      </c>
    </row>
    <row r="214">
      <c r="A214" s="17" t="s">
        <v>432</v>
      </c>
      <c r="B214" s="18" t="str">
        <f>VLOOKUP($A214,Results!$A$2:$C$436,2,FALSE)</f>
        <v>Angie Craig</v>
      </c>
      <c r="C214" s="19" t="str">
        <f>VLOOKUP($A214,Results!$A$2:$C$436,3,FALSE)</f>
        <v>(D)</v>
      </c>
      <c r="D214" s="23">
        <v>221002.63108781155</v>
      </c>
      <c r="E214" s="23">
        <v>190819.33763461892</v>
      </c>
      <c r="F214" s="23">
        <v>420650.2776347094</v>
      </c>
      <c r="G214" s="24">
        <v>0.5253833001858355</v>
      </c>
      <c r="H214" s="24">
        <v>0.45362941089111913</v>
      </c>
    </row>
    <row r="215">
      <c r="A215" s="17" t="s">
        <v>434</v>
      </c>
      <c r="B215" s="18" t="str">
        <f>VLOOKUP($A215,Results!$A$2:$C$436,2,FALSE)</f>
        <v>Dean Phillips</v>
      </c>
      <c r="C215" s="19" t="str">
        <f>VLOOKUP($A215,Results!$A$2:$C$436,3,FALSE)</f>
        <v>(D)</v>
      </c>
      <c r="D215" s="23">
        <v>258542.93796358202</v>
      </c>
      <c r="E215" s="23">
        <v>167401.65479399794</v>
      </c>
      <c r="F215" s="23">
        <v>434448.27271695016</v>
      </c>
      <c r="G215" s="24">
        <v>0.5951063779048025</v>
      </c>
      <c r="H215" s="24">
        <v>0.3853201066886569</v>
      </c>
    </row>
    <row r="216">
      <c r="A216" s="17" t="s">
        <v>436</v>
      </c>
      <c r="B216" s="18" t="str">
        <f>VLOOKUP($A216,Results!$A$2:$C$436,2,FALSE)</f>
        <v>Betty McCollum</v>
      </c>
      <c r="C216" s="19" t="str">
        <f>VLOOKUP($A216,Results!$A$2:$C$436,3,FALSE)</f>
        <v>(D)</v>
      </c>
      <c r="D216" s="23">
        <v>268967.12102462765</v>
      </c>
      <c r="E216" s="23">
        <v>119721.52940403562</v>
      </c>
      <c r="F216" s="23">
        <v>396498.9779853767</v>
      </c>
      <c r="G216" s="24">
        <v>0.6783551432875256</v>
      </c>
      <c r="H216" s="24">
        <v>0.3019466279896718</v>
      </c>
    </row>
    <row r="217">
      <c r="A217" s="17" t="s">
        <v>438</v>
      </c>
      <c r="B217" s="18" t="str">
        <f>VLOOKUP($A217,Results!$A$2:$C$436,2,FALSE)</f>
        <v>Ilhan Omar</v>
      </c>
      <c r="C217" s="19" t="str">
        <f>VLOOKUP($A217,Results!$A$2:$C$436,3,FALSE)</f>
        <v>(D)</v>
      </c>
      <c r="D217" s="23">
        <v>319406.6545522255</v>
      </c>
      <c r="E217" s="23">
        <v>69135.23240783092</v>
      </c>
      <c r="F217" s="23">
        <v>396493.24308742856</v>
      </c>
      <c r="G217" s="24">
        <v>0.8055790612345817</v>
      </c>
      <c r="H217" s="24">
        <v>0.17436673540634912</v>
      </c>
    </row>
    <row r="218">
      <c r="A218" s="17" t="s">
        <v>440</v>
      </c>
      <c r="B218" s="18" t="str">
        <f>VLOOKUP($A218,Results!$A$2:$C$436,2,FALSE)</f>
        <v>Tom Emmer</v>
      </c>
      <c r="C218" s="19" t="str">
        <f>VLOOKUP($A218,Results!$A$2:$C$436,3,FALSE)</f>
        <v>(R)</v>
      </c>
      <c r="D218" s="23">
        <v>165862.17607923382</v>
      </c>
      <c r="E218" s="23">
        <v>238872.1789138736</v>
      </c>
      <c r="F218" s="23">
        <v>413782.1370881833</v>
      </c>
      <c r="G218" s="24">
        <v>0.40084421537966497</v>
      </c>
      <c r="H218" s="24">
        <v>0.5772897317289613</v>
      </c>
    </row>
    <row r="219">
      <c r="A219" s="17" t="s">
        <v>442</v>
      </c>
      <c r="B219" s="18" t="str">
        <f>VLOOKUP($A219,Results!$A$2:$C$436,2,FALSE)</f>
        <v>Michelle Fischbach</v>
      </c>
      <c r="C219" s="19" t="str">
        <f>VLOOKUP($A219,Results!$A$2:$C$436,3,FALSE)</f>
        <v>(R)</v>
      </c>
      <c r="D219" s="23">
        <v>128549.57789491757</v>
      </c>
      <c r="E219" s="23">
        <v>260007.1310021863</v>
      </c>
      <c r="F219" s="23">
        <v>395800.91068171896</v>
      </c>
      <c r="G219" s="24">
        <v>0.3247834313304296</v>
      </c>
      <c r="H219" s="24">
        <v>0.6569139281523017</v>
      </c>
    </row>
    <row r="220">
      <c r="A220" s="17" t="s">
        <v>444</v>
      </c>
      <c r="B220" s="18" t="str">
        <f>VLOOKUP($A220,Results!$A$2:$C$436,2,FALSE)</f>
        <v>Pete Stauber</v>
      </c>
      <c r="C220" s="19" t="str">
        <f>VLOOKUP($A220,Results!$A$2:$C$436,3,FALSE)</f>
        <v>(R)</v>
      </c>
      <c r="D220" s="23">
        <v>182460.80936412004</v>
      </c>
      <c r="E220" s="23">
        <v>230049.66828005356</v>
      </c>
      <c r="F220" s="23">
        <v>420814.4870147697</v>
      </c>
      <c r="G220" s="24">
        <v>0.433589657662418</v>
      </c>
      <c r="H220" s="24">
        <v>0.546677159125416</v>
      </c>
    </row>
    <row r="221">
      <c r="A221" s="17" t="s">
        <v>446</v>
      </c>
      <c r="B221" s="18" t="str">
        <f>VLOOKUP($A221,Results!$A$2:$C$436,2,FALSE)</f>
        <v>Cori Bush</v>
      </c>
      <c r="C221" s="19" t="str">
        <f>VLOOKUP($A221,Results!$A$2:$C$436,3,FALSE)</f>
        <v>(D)</v>
      </c>
      <c r="D221" s="23">
        <v>278269.18721347046</v>
      </c>
      <c r="E221" s="23">
        <v>71036.88850999465</v>
      </c>
      <c r="F221" s="23">
        <v>355000.45795755606</v>
      </c>
      <c r="G221" s="24">
        <v>0.7838558541993216</v>
      </c>
      <c r="H221" s="24">
        <v>0.20010365315778786</v>
      </c>
    </row>
    <row r="222">
      <c r="A222" s="17" t="s">
        <v>448</v>
      </c>
      <c r="B222" s="18" t="str">
        <f>VLOOKUP($A222,Results!$A$2:$C$436,2,FALSE)</f>
        <v>Ann Wagner</v>
      </c>
      <c r="C222" s="19" t="str">
        <f>VLOOKUP($A222,Results!$A$2:$C$436,3,FALSE)</f>
        <v>(R)</v>
      </c>
      <c r="D222" s="23">
        <v>198823.22687790665</v>
      </c>
      <c r="E222" s="23">
        <v>232845.21889979937</v>
      </c>
      <c r="F222" s="23">
        <v>438960.12066436594</v>
      </c>
      <c r="G222" s="24">
        <v>0.4529414348095854</v>
      </c>
      <c r="H222" s="24">
        <v>0.530447318420152</v>
      </c>
    </row>
    <row r="223">
      <c r="A223" s="17" t="s">
        <v>450</v>
      </c>
      <c r="B223" s="18" t="str">
        <f>VLOOKUP($A223,Results!$A$2:$C$436,2,FALSE)</f>
        <v>Blaine Luetkemeyer</v>
      </c>
      <c r="C223" s="19" t="str">
        <f>VLOOKUP($A223,Results!$A$2:$C$436,3,FALSE)</f>
        <v>(R)</v>
      </c>
      <c r="D223" s="23">
        <v>142583.93399088053</v>
      </c>
      <c r="E223" s="23">
        <v>247107.68077404524</v>
      </c>
      <c r="F223" s="23">
        <v>397209.7637193745</v>
      </c>
      <c r="G223" s="24">
        <v>0.35896381965981833</v>
      </c>
      <c r="H223" s="24">
        <v>0.6221087781432908</v>
      </c>
    </row>
    <row r="224">
      <c r="A224" s="17" t="s">
        <v>452</v>
      </c>
      <c r="B224" s="18" t="str">
        <f>VLOOKUP($A224,Results!$A$2:$C$436,2,FALSE)</f>
        <v>Mark Alford</v>
      </c>
      <c r="C224" s="19" t="str">
        <f>VLOOKUP($A224,Results!$A$2:$C$436,3,FALSE)</f>
        <v>(R)</v>
      </c>
      <c r="D224" s="23">
        <v>109919.90976497585</v>
      </c>
      <c r="E224" s="23">
        <v>257314.92173284775</v>
      </c>
      <c r="F224" s="23">
        <v>374597.7454978858</v>
      </c>
      <c r="G224" s="24">
        <v>0.2934345203249395</v>
      </c>
      <c r="H224" s="24">
        <v>0.686909958282971</v>
      </c>
    </row>
    <row r="225">
      <c r="A225" s="17" t="s">
        <v>454</v>
      </c>
      <c r="B225" s="18" t="str">
        <f>VLOOKUP($A225,Results!$A$2:$C$436,2,FALSE)</f>
        <v>Emanuel Cleaver</v>
      </c>
      <c r="C225" s="19" t="str">
        <f>VLOOKUP($A225,Results!$A$2:$C$436,3,FALSE)</f>
        <v>(D)</v>
      </c>
      <c r="D225" s="23">
        <v>217895.42068937613</v>
      </c>
      <c r="E225" s="23">
        <v>125685.72317358758</v>
      </c>
      <c r="F225" s="23">
        <v>350584.0635546361</v>
      </c>
      <c r="G225" s="24">
        <v>0.6215211794857259</v>
      </c>
      <c r="H225" s="24">
        <v>0.35850381189389213</v>
      </c>
    </row>
    <row r="226">
      <c r="A226" s="17" t="s">
        <v>456</v>
      </c>
      <c r="B226" s="18" t="str">
        <f>VLOOKUP($A226,Results!$A$2:$C$436,2,FALSE)</f>
        <v>Sam Graves</v>
      </c>
      <c r="C226" s="19" t="str">
        <f>VLOOKUP($A226,Results!$A$2:$C$436,3,FALSE)</f>
        <v>(R)</v>
      </c>
      <c r="D226" s="23">
        <v>115547.9975219015</v>
      </c>
      <c r="E226" s="23">
        <v>255726.72000937612</v>
      </c>
      <c r="F226" s="23">
        <v>377862.59448278305</v>
      </c>
      <c r="G226" s="24">
        <v>0.3057936911698369</v>
      </c>
      <c r="H226" s="24">
        <v>0.6767717253395084</v>
      </c>
    </row>
    <row r="227">
      <c r="A227" s="17" t="s">
        <v>458</v>
      </c>
      <c r="B227" s="18" t="str">
        <f>VLOOKUP($A227,Results!$A$2:$C$436,2,FALSE)</f>
        <v>Eric Burlison</v>
      </c>
      <c r="C227" s="19" t="str">
        <f>VLOOKUP($A227,Results!$A$2:$C$436,3,FALSE)</f>
        <v>(R)</v>
      </c>
      <c r="D227" s="23">
        <v>103422.81914211372</v>
      </c>
      <c r="E227" s="23">
        <v>254240.51371942673</v>
      </c>
      <c r="F227" s="23">
        <v>364373.614097696</v>
      </c>
      <c r="G227" s="24">
        <v>0.283837289915246</v>
      </c>
      <c r="H227" s="24">
        <v>0.6977467738683726</v>
      </c>
    </row>
    <row r="228">
      <c r="A228" s="17" t="s">
        <v>460</v>
      </c>
      <c r="B228" s="18" t="str">
        <f>VLOOKUP($A228,Results!$A$2:$C$436,2,FALSE)</f>
        <v>Jason Smith</v>
      </c>
      <c r="C228" s="19" t="str">
        <f>VLOOKUP($A228,Results!$A$2:$C$436,3,FALSE)</f>
        <v>(R)</v>
      </c>
      <c r="D228" s="23">
        <v>86551.50479937509</v>
      </c>
      <c r="E228" s="23">
        <v>274779.3331809226</v>
      </c>
      <c r="F228" s="23">
        <v>366569.64002570254</v>
      </c>
      <c r="G228" s="24">
        <v>0.23611203806541753</v>
      </c>
      <c r="H228" s="24">
        <v>0.7495965382230131</v>
      </c>
    </row>
    <row r="229">
      <c r="A229" s="17" t="s">
        <v>462</v>
      </c>
      <c r="B229" s="18" t="str">
        <f>VLOOKUP($A229,Results!$A$2:$C$436,2,FALSE)</f>
        <v>Trent Kelly</v>
      </c>
      <c r="C229" s="19" t="str">
        <f>VLOOKUP($A229,Results!$A$2:$C$436,3,FALSE)</f>
        <v>(R)</v>
      </c>
      <c r="D229" s="23">
        <v>111534.68073394496</v>
      </c>
      <c r="E229" s="23">
        <v>217290.75229357797</v>
      </c>
      <c r="F229" s="23">
        <v>333728.31743119267</v>
      </c>
      <c r="G229" s="24">
        <v>0.3342080216400603</v>
      </c>
      <c r="H229" s="24">
        <v>0.6511007335731361</v>
      </c>
    </row>
    <row r="230">
      <c r="A230" s="17" t="s">
        <v>464</v>
      </c>
      <c r="B230" s="18" t="str">
        <f>VLOOKUP($A230,Results!$A$2:$C$436,2,FALSE)</f>
        <v>Bennie Thompson</v>
      </c>
      <c r="C230" s="19" t="str">
        <f>VLOOKUP($A230,Results!$A$2:$C$436,3,FALSE)</f>
        <v>(D)</v>
      </c>
      <c r="D230" s="23">
        <v>208158.95114149145</v>
      </c>
      <c r="E230" s="23">
        <v>121206.0598652974</v>
      </c>
      <c r="F230" s="23">
        <v>333246.99038280186</v>
      </c>
      <c r="G230" s="24">
        <v>0.6246386528573855</v>
      </c>
      <c r="H230" s="24">
        <v>0.36371239159899876</v>
      </c>
    </row>
    <row r="231">
      <c r="A231" s="17" t="s">
        <v>466</v>
      </c>
      <c r="B231" s="18" t="str">
        <f>VLOOKUP($A231,Results!$A$2:$C$436,2,FALSE)</f>
        <v>Michael Guest</v>
      </c>
      <c r="C231" s="19" t="str">
        <f>VLOOKUP($A231,Results!$A$2:$C$436,3,FALSE)</f>
        <v>(R)</v>
      </c>
      <c r="D231" s="23">
        <v>128386.00781015061</v>
      </c>
      <c r="E231" s="23">
        <v>212320.8905253132</v>
      </c>
      <c r="F231" s="23">
        <v>345011.35375492973</v>
      </c>
      <c r="G231" s="24">
        <v>0.3721211096761367</v>
      </c>
      <c r="H231" s="24">
        <v>0.6154026185356499</v>
      </c>
    </row>
    <row r="232">
      <c r="A232" s="17" t="s">
        <v>468</v>
      </c>
      <c r="B232" s="18" t="str">
        <f>VLOOKUP($A232,Results!$A$2:$C$436,2,FALSE)</f>
        <v>Mike Ezell</v>
      </c>
      <c r="C232" s="19" t="str">
        <f>VLOOKUP($A232,Results!$A$2:$C$436,3,FALSE)</f>
        <v>(R)</v>
      </c>
      <c r="D232" s="23">
        <v>91318.36031441299</v>
      </c>
      <c r="E232" s="23">
        <v>205946.2973158114</v>
      </c>
      <c r="F232" s="23">
        <v>301772.3384310758</v>
      </c>
      <c r="G232" s="24">
        <v>0.3026067955372587</v>
      </c>
      <c r="H232" s="24">
        <v>0.6824558486259307</v>
      </c>
    </row>
    <row r="233">
      <c r="A233" s="17" t="s">
        <v>470</v>
      </c>
      <c r="B233" s="18" t="str">
        <f>VLOOKUP($A233,Results!$A$2:$C$436,2,FALSE)</f>
        <v>Ryan Zinke</v>
      </c>
      <c r="C233" s="19" t="str">
        <f>VLOOKUP($A233,Results!$A$2:$C$436,3,FALSE)</f>
        <v>(R)</v>
      </c>
      <c r="D233" s="23">
        <v>143416.5605536332</v>
      </c>
      <c r="E233" s="23">
        <v>165189.35294117648</v>
      </c>
      <c r="F233" s="23">
        <v>316602.96539792384</v>
      </c>
      <c r="G233" s="24">
        <v>0.4529855251778184</v>
      </c>
      <c r="H233" s="24">
        <v>0.5217555455728519</v>
      </c>
    </row>
    <row r="234">
      <c r="A234" s="17" t="s">
        <v>472</v>
      </c>
      <c r="B234" s="18" t="str">
        <f>VLOOKUP($A234,Results!$A$2:$C$436,2,FALSE)</f>
        <v>Matt Rosendale</v>
      </c>
      <c r="C234" s="19" t="str">
        <f>VLOOKUP($A234,Results!$A$2:$C$436,3,FALSE)</f>
        <v>(R)</v>
      </c>
      <c r="D234" s="23">
        <v>101369.43944636678</v>
      </c>
      <c r="E234" s="23">
        <v>178412.64705882352</v>
      </c>
      <c r="F234" s="23">
        <v>287037.03460207616</v>
      </c>
      <c r="G234" s="24">
        <v>0.3531580500993427</v>
      </c>
      <c r="H234" s="24">
        <v>0.6215666466390294</v>
      </c>
    </row>
    <row r="235">
      <c r="A235" s="17" t="s">
        <v>474</v>
      </c>
      <c r="B235" s="18" t="str">
        <f>VLOOKUP($A235,Results!$A$2:$C$436,2,FALSE)</f>
        <v>Don Davis</v>
      </c>
      <c r="C235" s="19" t="str">
        <f>VLOOKUP($A235,Results!$A$2:$C$436,3,FALSE)</f>
        <v>(D)</v>
      </c>
      <c r="D235" s="23">
        <v>208362.10750046067</v>
      </c>
      <c r="E235" s="23">
        <v>179761.89942600054</v>
      </c>
      <c r="F235" s="23">
        <v>391721.1689976263</v>
      </c>
      <c r="G235" s="24">
        <v>0.5319143410953195</v>
      </c>
      <c r="H235" s="24">
        <v>0.4589026931732909</v>
      </c>
    </row>
    <row r="236">
      <c r="A236" s="17" t="s">
        <v>476</v>
      </c>
      <c r="B236" s="18" t="str">
        <f>VLOOKUP($A236,Results!$A$2:$C$436,2,FALSE)</f>
        <v>Deborah Ross</v>
      </c>
      <c r="C236" s="19" t="str">
        <f>VLOOKUP($A236,Results!$A$2:$C$436,3,FALSE)</f>
        <v>(D)</v>
      </c>
      <c r="D236" s="23">
        <v>264325.98986486485</v>
      </c>
      <c r="E236" s="23">
        <v>144747.09797297296</v>
      </c>
      <c r="F236" s="23">
        <v>415587.65202702704</v>
      </c>
      <c r="G236" s="24">
        <v>0.6360294599120448</v>
      </c>
      <c r="H236" s="24">
        <v>0.3482949920840275</v>
      </c>
    </row>
    <row r="237">
      <c r="A237" s="17" t="s">
        <v>478</v>
      </c>
      <c r="B237" s="18" t="str">
        <f>VLOOKUP($A237,Results!$A$2:$C$436,2,FALSE)</f>
        <v>Greg Murphy</v>
      </c>
      <c r="C237" s="19" t="str">
        <f>VLOOKUP($A237,Results!$A$2:$C$436,3,FALSE)</f>
        <v>(R)</v>
      </c>
      <c r="D237" s="23">
        <v>134417.8212185476</v>
      </c>
      <c r="E237" s="23">
        <v>227413.1078054044</v>
      </c>
      <c r="F237" s="23">
        <v>366703.3351346051</v>
      </c>
      <c r="G237" s="24">
        <v>0.3665574003279983</v>
      </c>
      <c r="H237" s="24">
        <v>0.620155548140647</v>
      </c>
    </row>
    <row r="238">
      <c r="A238" s="17" t="s">
        <v>480</v>
      </c>
      <c r="B238" s="18" t="str">
        <f>VLOOKUP($A238,Results!$A$2:$C$436,2,FALSE)</f>
        <v>Valerie Foushee</v>
      </c>
      <c r="C238" s="19" t="str">
        <f>VLOOKUP($A238,Results!$A$2:$C$436,3,FALSE)</f>
        <v>(D)</v>
      </c>
      <c r="D238" s="23">
        <v>270350.4262220192</v>
      </c>
      <c r="E238" s="23">
        <v>128688.81589767017</v>
      </c>
      <c r="F238" s="23">
        <v>403834.4499771585</v>
      </c>
      <c r="G238" s="24">
        <v>0.6694585522292875</v>
      </c>
      <c r="H238" s="24">
        <v>0.31866725561662457</v>
      </c>
    </row>
    <row r="239">
      <c r="A239" s="17" t="s">
        <v>482</v>
      </c>
      <c r="B239" s="18" t="str">
        <f>VLOOKUP($A239,Results!$A$2:$C$436,2,FALSE)</f>
        <v>Virginia Foxx</v>
      </c>
      <c r="C239" s="19" t="str">
        <f>VLOOKUP($A239,Results!$A$2:$C$436,3,FALSE)</f>
        <v>(R)</v>
      </c>
      <c r="D239" s="23">
        <v>156405.79472692206</v>
      </c>
      <c r="E239" s="23">
        <v>242318.0261286929</v>
      </c>
      <c r="F239" s="23">
        <v>403376.07057289383</v>
      </c>
      <c r="G239" s="24">
        <v>0.3877418769655501</v>
      </c>
      <c r="H239" s="24">
        <v>0.6007248416708045</v>
      </c>
    </row>
    <row r="240">
      <c r="A240" s="17" t="s">
        <v>484</v>
      </c>
      <c r="B240" s="18" t="str">
        <f>VLOOKUP($A240,Results!$A$2:$C$436,2,FALSE)</f>
        <v>Kathy Manning</v>
      </c>
      <c r="C240" s="19" t="str">
        <f>VLOOKUP($A240,Results!$A$2:$C$436,3,FALSE)</f>
        <v>(D)</v>
      </c>
      <c r="D240" s="23">
        <v>217771.49650525354</v>
      </c>
      <c r="E240" s="23">
        <v>169195.85228414802</v>
      </c>
      <c r="F240" s="23">
        <v>391460.3386592051</v>
      </c>
      <c r="G240" s="24">
        <v>0.5563053903523022</v>
      </c>
      <c r="H240" s="24">
        <v>0.4322170998565589</v>
      </c>
    </row>
    <row r="241">
      <c r="A241" s="17" t="s">
        <v>486</v>
      </c>
      <c r="B241" s="18" t="str">
        <f>VLOOKUP($A241,Results!$A$2:$C$436,2,FALSE)</f>
        <v>David Rouzer</v>
      </c>
      <c r="C241" s="19" t="str">
        <f>VLOOKUP($A241,Results!$A$2:$C$436,3,FALSE)</f>
        <v>(R)</v>
      </c>
      <c r="D241" s="23">
        <v>175561.07721639657</v>
      </c>
      <c r="E241" s="23">
        <v>227500.28249126152</v>
      </c>
      <c r="F241" s="23">
        <v>407783.94057832856</v>
      </c>
      <c r="G241" s="24">
        <v>0.4305247454507694</v>
      </c>
      <c r="H241" s="24">
        <v>0.5578941685849996</v>
      </c>
    </row>
    <row r="242">
      <c r="A242" s="17" t="s">
        <v>488</v>
      </c>
      <c r="B242" s="18" t="str">
        <f>VLOOKUP($A242,Results!$A$2:$C$436,2,FALSE)</f>
        <v>Dan Bishop</v>
      </c>
      <c r="C242" s="19" t="str">
        <f>VLOOKUP($A242,Results!$A$2:$C$436,3,FALSE)</f>
        <v>(R)</v>
      </c>
      <c r="D242" s="23">
        <v>127232.57551517035</v>
      </c>
      <c r="E242" s="23">
        <v>261100.14014445478</v>
      </c>
      <c r="F242" s="23">
        <v>392694.78366728796</v>
      </c>
      <c r="G242" s="24">
        <v>0.323998639164427</v>
      </c>
      <c r="H242" s="24">
        <v>0.6648933242914496</v>
      </c>
    </row>
    <row r="243">
      <c r="A243" s="17" t="s">
        <v>490</v>
      </c>
      <c r="B243" s="18" t="str">
        <f>VLOOKUP($A243,Results!$A$2:$C$436,2,FALSE)</f>
        <v>Richard Hudson</v>
      </c>
      <c r="C243" s="19" t="str">
        <f>VLOOKUP($A243,Results!$A$2:$C$436,3,FALSE)</f>
        <v>(R)</v>
      </c>
      <c r="D243" s="23">
        <v>161394.11547721564</v>
      </c>
      <c r="E243" s="23">
        <v>189811.6008467826</v>
      </c>
      <c r="F243" s="23">
        <v>355924.4879830055</v>
      </c>
      <c r="G243" s="24">
        <v>0.4534504394227626</v>
      </c>
      <c r="H243" s="24">
        <v>0.5332917718655132</v>
      </c>
    </row>
    <row r="244">
      <c r="A244" s="17" t="s">
        <v>492</v>
      </c>
      <c r="B244" s="18" t="str">
        <f>VLOOKUP($A244,Results!$A$2:$C$436,2,FALSE)</f>
        <v>Patrick McHenry</v>
      </c>
      <c r="C244" s="19" t="str">
        <f>VLOOKUP($A244,Results!$A$2:$C$436,3,FALSE)</f>
        <v>(R)</v>
      </c>
      <c r="D244" s="23">
        <v>117768.24624170703</v>
      </c>
      <c r="E244" s="23">
        <v>274563.818339095</v>
      </c>
      <c r="F244" s="23">
        <v>396532.07044288475</v>
      </c>
      <c r="G244" s="24">
        <v>0.29699551441116034</v>
      </c>
      <c r="H244" s="24">
        <v>0.6924126415107761</v>
      </c>
    </row>
    <row r="245">
      <c r="A245" s="17" t="s">
        <v>494</v>
      </c>
      <c r="B245" s="18" t="str">
        <f>VLOOKUP($A245,Results!$A$2:$C$436,2,FALSE)</f>
        <v>Chuck Edwards</v>
      </c>
      <c r="C245" s="19" t="str">
        <f>VLOOKUP($A245,Results!$A$2:$C$436,3,FALSE)</f>
        <v>(R)</v>
      </c>
      <c r="D245" s="23">
        <v>192265.64715536105</v>
      </c>
      <c r="E245" s="23">
        <v>236407.8353391685</v>
      </c>
      <c r="F245" s="23">
        <v>434463.4819474836</v>
      </c>
      <c r="G245" s="24">
        <v>0.4425358059865695</v>
      </c>
      <c r="H245" s="24">
        <v>0.5441374135277602</v>
      </c>
    </row>
    <row r="246">
      <c r="A246" s="17" t="s">
        <v>496</v>
      </c>
      <c r="B246" s="18" t="str">
        <f>VLOOKUP($A246,Results!$A$2:$C$436,2,FALSE)</f>
        <v>Alma Adams</v>
      </c>
      <c r="C246" s="19" t="str">
        <f>VLOOKUP($A246,Results!$A$2:$C$436,3,FALSE)</f>
        <v>(D)</v>
      </c>
      <c r="D246" s="23">
        <v>235498.87321939194</v>
      </c>
      <c r="E246" s="23">
        <v>125189.79410572007</v>
      </c>
      <c r="F246" s="23">
        <v>365540.4908833535</v>
      </c>
      <c r="G246" s="24">
        <v>0.6442483913349595</v>
      </c>
      <c r="H246" s="24">
        <v>0.3424785960187075</v>
      </c>
    </row>
    <row r="247">
      <c r="A247" s="17" t="s">
        <v>498</v>
      </c>
      <c r="B247" s="18" t="str">
        <f>VLOOKUP($A247,Results!$A$2:$C$436,2,FALSE)</f>
        <v>Wiley Nickel</v>
      </c>
      <c r="C247" s="19" t="str">
        <f>VLOOKUP($A247,Results!$A$2:$C$436,3,FALSE)</f>
        <v>(D)</v>
      </c>
      <c r="D247" s="23">
        <v>198303.05682596294</v>
      </c>
      <c r="E247" s="23">
        <v>191580.72266447454</v>
      </c>
      <c r="F247" s="23">
        <v>395781.21269320056</v>
      </c>
      <c r="G247" s="24">
        <v>0.5010421173773156</v>
      </c>
      <c r="H247" s="24">
        <v>0.48405714197703215</v>
      </c>
    </row>
    <row r="248">
      <c r="A248" s="17" t="s">
        <v>500</v>
      </c>
      <c r="B248" s="18" t="str">
        <f>VLOOKUP($A248,Results!$A$2:$C$436,2,FALSE)</f>
        <v>Jeff Jackson</v>
      </c>
      <c r="C248" s="19" t="str">
        <f>VLOOKUP($A248,Results!$A$2:$C$436,3,FALSE)</f>
        <v>(D)</v>
      </c>
      <c r="D248" s="23">
        <v>224580.77231072658</v>
      </c>
      <c r="E248" s="23">
        <v>160492.00655415404</v>
      </c>
      <c r="F248" s="23">
        <v>390604.5164359396</v>
      </c>
      <c r="G248" s="24">
        <v>0.5749569266630806</v>
      </c>
      <c r="H248" s="24">
        <v>0.41088108252961086</v>
      </c>
    </row>
    <row r="249">
      <c r="A249" s="17" t="s">
        <v>502</v>
      </c>
      <c r="B249" s="18" t="str">
        <f>VLOOKUP($A249,Results!$A$2:$C$436,2,FALSE)</f>
        <v>Kelly Armstrong</v>
      </c>
      <c r="C249" s="19" t="str">
        <f>VLOOKUP($A249,Results!$A$2:$C$436,3,FALSE)</f>
        <v>(R)</v>
      </c>
      <c r="D249" s="20">
        <v>114902.0</v>
      </c>
      <c r="E249" s="21">
        <v>235595.0</v>
      </c>
      <c r="F249" s="21">
        <v>359890.0</v>
      </c>
      <c r="G249" s="22">
        <v>0.31926977687626773</v>
      </c>
      <c r="H249" s="22">
        <v>0.6546305815665898</v>
      </c>
    </row>
    <row r="250">
      <c r="A250" s="17" t="s">
        <v>504</v>
      </c>
      <c r="B250" s="18" t="str">
        <f>VLOOKUP($A250,Results!$A$2:$C$436,2,FALSE)</f>
        <v>Mike Flood</v>
      </c>
      <c r="C250" s="19" t="str">
        <f>VLOOKUP($A250,Results!$A$2:$C$436,3,FALSE)</f>
        <v>(R)</v>
      </c>
      <c r="D250" s="23">
        <v>136955.90394876394</v>
      </c>
      <c r="E250" s="23">
        <v>171957.46757120496</v>
      </c>
      <c r="F250" s="23">
        <v>316440.34162401344</v>
      </c>
      <c r="G250" s="24">
        <v>0.43280165621705563</v>
      </c>
      <c r="H250" s="24">
        <v>0.5434119641278877</v>
      </c>
    </row>
    <row r="251">
      <c r="A251" s="17" t="s">
        <v>506</v>
      </c>
      <c r="B251" s="18" t="str">
        <f>VLOOKUP($A251,Results!$A$2:$C$436,2,FALSE)</f>
        <v>Don Bacon</v>
      </c>
      <c r="C251" s="19" t="str">
        <f>VLOOKUP($A251,Results!$A$2:$C$436,3,FALSE)</f>
        <v>(R)</v>
      </c>
      <c r="D251" s="23">
        <v>163239.15670864575</v>
      </c>
      <c r="E251" s="23">
        <v>143429.45039267556</v>
      </c>
      <c r="F251" s="23">
        <v>312939.86592197395</v>
      </c>
      <c r="G251" s="24">
        <v>0.5216310687285415</v>
      </c>
      <c r="H251" s="24">
        <v>0.45832911051491654</v>
      </c>
    </row>
    <row r="252">
      <c r="A252" s="17" t="s">
        <v>508</v>
      </c>
      <c r="B252" s="18" t="str">
        <f>VLOOKUP($A252,Results!$A$2:$C$436,2,FALSE)</f>
        <v>Adrian Smith</v>
      </c>
      <c r="C252" s="19" t="str">
        <f>VLOOKUP($A252,Results!$A$2:$C$436,3,FALSE)</f>
        <v>(R)</v>
      </c>
      <c r="D252" s="23">
        <v>74387.93934259031</v>
      </c>
      <c r="E252" s="23">
        <v>241459.08203611948</v>
      </c>
      <c r="F252" s="23">
        <v>322331.7924540126</v>
      </c>
      <c r="G252" s="24">
        <v>0.23078064616664612</v>
      </c>
      <c r="H252" s="24">
        <v>0.7491010433622325</v>
      </c>
    </row>
    <row r="253">
      <c r="A253" s="17" t="s">
        <v>510</v>
      </c>
      <c r="B253" s="18" t="str">
        <f>VLOOKUP($A253,Results!$A$2:$C$436,2,FALSE)</f>
        <v>Chris Pappas</v>
      </c>
      <c r="C253" s="19" t="str">
        <f>VLOOKUP($A253,Results!$A$2:$C$436,3,FALSE)</f>
        <v>(D)</v>
      </c>
      <c r="D253" s="23">
        <v>210310.0</v>
      </c>
      <c r="E253" s="23">
        <v>186410.0</v>
      </c>
      <c r="F253" s="23">
        <v>403198.0</v>
      </c>
      <c r="G253" s="24">
        <v>0.5216047698649299</v>
      </c>
      <c r="H253" s="24">
        <v>0.46232868218592355</v>
      </c>
    </row>
    <row r="254">
      <c r="A254" s="17" t="s">
        <v>512</v>
      </c>
      <c r="B254" s="18" t="str">
        <f>VLOOKUP($A254,Results!$A$2:$C$436,2,FALSE)</f>
        <v>Annie Kuster</v>
      </c>
      <c r="C254" s="19" t="str">
        <f>VLOOKUP($A254,Results!$A$2:$C$436,3,FALSE)</f>
        <v>(D)</v>
      </c>
      <c r="D254" s="23">
        <v>214627.0</v>
      </c>
      <c r="E254" s="23">
        <v>179250.0</v>
      </c>
      <c r="F254" s="23">
        <v>400635.0</v>
      </c>
      <c r="G254" s="24">
        <v>0.5357170491844198</v>
      </c>
      <c r="H254" s="24">
        <v>0.44741472911752594</v>
      </c>
    </row>
    <row r="255">
      <c r="A255" s="17" t="s">
        <v>514</v>
      </c>
      <c r="B255" s="18" t="str">
        <f>VLOOKUP($A255,Results!$A$2:$C$436,2,FALSE)</f>
        <v>Donald Norcross</v>
      </c>
      <c r="C255" s="19" t="str">
        <f>VLOOKUP($A255,Results!$A$2:$C$436,3,FALSE)</f>
        <v>(D)</v>
      </c>
      <c r="D255" s="23">
        <v>247692.94249289756</v>
      </c>
      <c r="E255" s="23">
        <v>149375.1513118161</v>
      </c>
      <c r="F255" s="23">
        <v>402494.7273981167</v>
      </c>
      <c r="G255" s="24">
        <v>0.6153942539672049</v>
      </c>
      <c r="H255" s="24">
        <v>0.3711232499303419</v>
      </c>
    </row>
    <row r="256">
      <c r="A256" s="17" t="s">
        <v>516</v>
      </c>
      <c r="B256" s="18" t="str">
        <f>VLOOKUP($A256,Results!$A$2:$C$436,2,FALSE)</f>
        <v>Jeff Van Drew</v>
      </c>
      <c r="C256" s="19" t="str">
        <f>VLOOKUP($A256,Results!$A$2:$C$436,3,FALSE)</f>
        <v>(R)</v>
      </c>
      <c r="D256" s="23">
        <v>192480.57653552032</v>
      </c>
      <c r="E256" s="23">
        <v>212664.05285346584</v>
      </c>
      <c r="F256" s="23">
        <v>410535.4518867231</v>
      </c>
      <c r="G256" s="24">
        <v>0.46885250871983275</v>
      </c>
      <c r="H256" s="24">
        <v>0.5180162928100668</v>
      </c>
    </row>
    <row r="257">
      <c r="A257" s="17" t="s">
        <v>518</v>
      </c>
      <c r="B257" s="18" t="str">
        <f>VLOOKUP($A257,Results!$A$2:$C$436,2,FALSE)</f>
        <v>Andy Kim</v>
      </c>
      <c r="C257" s="19" t="str">
        <f>VLOOKUP($A257,Results!$A$2:$C$436,3,FALSE)</f>
        <v>(D)</v>
      </c>
      <c r="D257" s="23">
        <v>248284.38808277753</v>
      </c>
      <c r="E257" s="23">
        <v>186602.62786058447</v>
      </c>
      <c r="F257" s="23">
        <v>440665.62018710165</v>
      </c>
      <c r="G257" s="24">
        <v>0.5634303578694403</v>
      </c>
      <c r="H257" s="24">
        <v>0.4234562881972846</v>
      </c>
    </row>
    <row r="258">
      <c r="A258" s="17" t="s">
        <v>520</v>
      </c>
      <c r="B258" s="18" t="str">
        <f>VLOOKUP($A258,Results!$A$2:$C$436,2,FALSE)</f>
        <v>Chris Smith</v>
      </c>
      <c r="C258" s="19" t="str">
        <f>VLOOKUP($A258,Results!$A$2:$C$436,3,FALSE)</f>
        <v>(R)</v>
      </c>
      <c r="D258" s="23">
        <v>163105.79123685817</v>
      </c>
      <c r="E258" s="23">
        <v>259058.58864171285</v>
      </c>
      <c r="F258" s="23">
        <v>427723.881105589</v>
      </c>
      <c r="G258" s="24">
        <v>0.3813343103856141</v>
      </c>
      <c r="H258" s="24">
        <v>0.6056678153487554</v>
      </c>
    </row>
    <row r="259">
      <c r="A259" s="17" t="s">
        <v>522</v>
      </c>
      <c r="B259" s="18" t="str">
        <f>VLOOKUP($A259,Results!$A$2:$C$436,2,FALSE)</f>
        <v>Josh Gottheimer</v>
      </c>
      <c r="C259" s="19" t="str">
        <f>VLOOKUP($A259,Results!$A$2:$C$436,3,FALSE)</f>
        <v>(D)</v>
      </c>
      <c r="D259" s="23">
        <v>240209.20831498582</v>
      </c>
      <c r="E259" s="23">
        <v>186611.43344862026</v>
      </c>
      <c r="F259" s="23">
        <v>432268.6014181247</v>
      </c>
      <c r="G259" s="24">
        <v>0.5556943241469354</v>
      </c>
      <c r="H259" s="24">
        <v>0.43170249432045793</v>
      </c>
    </row>
    <row r="260">
      <c r="A260" s="17" t="s">
        <v>524</v>
      </c>
      <c r="B260" s="18" t="str">
        <f>VLOOKUP($A260,Results!$A$2:$C$436,2,FALSE)</f>
        <v>Frank Pallone</v>
      </c>
      <c r="C260" s="19" t="str">
        <f>VLOOKUP($A260,Results!$A$2:$C$436,3,FALSE)</f>
        <v>(D)</v>
      </c>
      <c r="D260" s="23">
        <v>197825.00986562547</v>
      </c>
      <c r="E260" s="23">
        <v>133268.10504108685</v>
      </c>
      <c r="F260" s="23">
        <v>335438.602938246</v>
      </c>
      <c r="G260" s="24">
        <v>0.5897502795825945</v>
      </c>
      <c r="H260" s="24">
        <v>0.3972950753840977</v>
      </c>
    </row>
    <row r="261">
      <c r="A261" s="17" t="s">
        <v>526</v>
      </c>
      <c r="B261" s="18" t="str">
        <f>VLOOKUP($A261,Results!$A$2:$C$436,2,FALSE)</f>
        <v>Tom Kean Jr.</v>
      </c>
      <c r="C261" s="19" t="str">
        <f>VLOOKUP($A261,Results!$A$2:$C$436,3,FALSE)</f>
        <v>(R)</v>
      </c>
      <c r="D261" s="23">
        <v>235950.5370276466</v>
      </c>
      <c r="E261" s="23">
        <v>218150.8915921228</v>
      </c>
      <c r="F261" s="23">
        <v>461600.13450056774</v>
      </c>
      <c r="G261" s="24">
        <v>0.5111578602179899</v>
      </c>
      <c r="H261" s="24">
        <v>0.4725971144444163</v>
      </c>
    </row>
    <row r="262">
      <c r="A262" s="17" t="s">
        <v>528</v>
      </c>
      <c r="B262" s="18" t="str">
        <f>VLOOKUP($A262,Results!$A$2:$C$436,2,FALSE)</f>
        <v>Rob Menendez</v>
      </c>
      <c r="C262" s="19" t="str">
        <f>VLOOKUP($A262,Results!$A$2:$C$436,3,FALSE)</f>
        <v>(D)</v>
      </c>
      <c r="D262" s="23">
        <v>173894.10417955992</v>
      </c>
      <c r="E262" s="23">
        <v>64632.826948782356</v>
      </c>
      <c r="F262" s="23">
        <v>241039.30329876195</v>
      </c>
      <c r="G262" s="24">
        <v>0.7214346448886915</v>
      </c>
      <c r="H262" s="24">
        <v>0.2681422741612875</v>
      </c>
    </row>
    <row r="263">
      <c r="A263" s="17" t="s">
        <v>530</v>
      </c>
      <c r="B263" s="18" t="str">
        <f>VLOOKUP($A263,Results!$A$2:$C$436,2,FALSE)</f>
        <v>Bill Pascrell</v>
      </c>
      <c r="C263" s="19" t="str">
        <f>VLOOKUP($A263,Results!$A$2:$C$436,3,FALSE)</f>
        <v>(D)</v>
      </c>
      <c r="D263" s="23">
        <v>185603.02020620968</v>
      </c>
      <c r="E263" s="23">
        <v>126053.73565939374</v>
      </c>
      <c r="F263" s="23">
        <v>315019.48018770065</v>
      </c>
      <c r="G263" s="24">
        <v>0.5891795012029741</v>
      </c>
      <c r="H263" s="24">
        <v>0.4001458436293721</v>
      </c>
    </row>
    <row r="264">
      <c r="A264" s="17" t="s">
        <v>532</v>
      </c>
      <c r="B264" s="18" t="str">
        <f>VLOOKUP($A264,Results!$A$2:$C$436,2,FALSE)</f>
        <v>Donald Payne</v>
      </c>
      <c r="C264" s="19" t="str">
        <f>VLOOKUP($A264,Results!$A$2:$C$436,3,FALSE)</f>
        <v>(D)</v>
      </c>
      <c r="D264" s="23">
        <v>234075.90716228884</v>
      </c>
      <c r="E264" s="23">
        <v>53927.70517191684</v>
      </c>
      <c r="F264" s="23">
        <v>290353.837314268</v>
      </c>
      <c r="G264" s="24">
        <v>0.8061746637394496</v>
      </c>
      <c r="H264" s="24">
        <v>0.18573098833733523</v>
      </c>
    </row>
    <row r="265">
      <c r="A265" s="17" t="s">
        <v>534</v>
      </c>
      <c r="B265" s="18" t="str">
        <f>VLOOKUP($A265,Results!$A$2:$C$436,2,FALSE)</f>
        <v>Mikie Sherrill</v>
      </c>
      <c r="C265" s="19" t="str">
        <f>VLOOKUP($A265,Results!$A$2:$C$436,3,FALSE)</f>
        <v>(D)</v>
      </c>
      <c r="D265" s="23">
        <v>252858.80759596673</v>
      </c>
      <c r="E265" s="23">
        <v>178835.1752935884</v>
      </c>
      <c r="F265" s="23">
        <v>437161.4491821958</v>
      </c>
      <c r="G265" s="24">
        <v>0.5784105805051962</v>
      </c>
      <c r="H265" s="24">
        <v>0.4090826755839014</v>
      </c>
    </row>
    <row r="266">
      <c r="A266" s="17" t="s">
        <v>536</v>
      </c>
      <c r="B266" s="18" t="str">
        <f>VLOOKUP($A266,Results!$A$2:$C$436,2,FALSE)</f>
        <v>Bonnie Watson Coleman</v>
      </c>
      <c r="C266" s="19" t="str">
        <f>VLOOKUP($A266,Results!$A$2:$C$436,3,FALSE)</f>
        <v>(D)</v>
      </c>
      <c r="D266" s="23">
        <v>236354.7072996634</v>
      </c>
      <c r="E266" s="23">
        <v>114093.70617690949</v>
      </c>
      <c r="F266" s="23">
        <v>355051.91058260464</v>
      </c>
      <c r="G266" s="24">
        <v>0.6656905659564794</v>
      </c>
      <c r="H266" s="24">
        <v>0.32134373249729353</v>
      </c>
    </row>
    <row r="267">
      <c r="A267" s="17" t="s">
        <v>538</v>
      </c>
      <c r="B267" s="18" t="str">
        <f>VLOOKUP($A267,Results!$A$2:$C$436,2,FALSE)</f>
        <v>Melanie Stansbury</v>
      </c>
      <c r="C267" s="19" t="str">
        <f>VLOOKUP($A267,Results!$A$2:$C$436,3,FALSE)</f>
        <v>(D)</v>
      </c>
      <c r="D267" s="23">
        <v>201157.8792888028</v>
      </c>
      <c r="E267" s="23">
        <v>149224.51813945317</v>
      </c>
      <c r="F267" s="23">
        <v>359557.12833531894</v>
      </c>
      <c r="G267" s="24">
        <v>0.5594601342493903</v>
      </c>
      <c r="H267" s="24">
        <v>0.41502311143248444</v>
      </c>
    </row>
    <row r="268">
      <c r="A268" s="17" t="s">
        <v>540</v>
      </c>
      <c r="B268" s="18" t="str">
        <f>VLOOKUP($A268,Results!$A$2:$C$436,2,FALSE)</f>
        <v>Gabe Vasquez</v>
      </c>
      <c r="C268" s="19" t="str">
        <f>VLOOKUP($A268,Results!$A$2:$C$436,3,FALSE)</f>
        <v>(D)</v>
      </c>
      <c r="D268" s="23">
        <v>137448.9622130872</v>
      </c>
      <c r="E268" s="23">
        <v>121889.0550226916</v>
      </c>
      <c r="F268" s="23">
        <v>264674.99673193356</v>
      </c>
      <c r="G268" s="24">
        <v>0.5193122278652462</v>
      </c>
      <c r="H268" s="24">
        <v>0.4605234968459922</v>
      </c>
    </row>
    <row r="269">
      <c r="A269" s="17" t="s">
        <v>542</v>
      </c>
      <c r="B269" s="18" t="str">
        <f>VLOOKUP($A269,Results!$A$2:$C$436,2,FALSE)</f>
        <v>Teresa Leger Fernandez</v>
      </c>
      <c r="C269" s="19" t="str">
        <f>VLOOKUP($A269,Results!$A$2:$C$436,3,FALSE)</f>
        <v>(D)</v>
      </c>
      <c r="D269" s="23">
        <v>163007.15849811008</v>
      </c>
      <c r="E269" s="23">
        <v>130780.42683785521</v>
      </c>
      <c r="F269" s="23">
        <v>299732.8749327475</v>
      </c>
      <c r="G269" s="24">
        <v>0.5438414405983486</v>
      </c>
      <c r="H269" s="24">
        <v>0.43632326573185876</v>
      </c>
    </row>
    <row r="270">
      <c r="A270" s="17" t="s">
        <v>544</v>
      </c>
      <c r="B270" s="18" t="str">
        <f>VLOOKUP($A270,Results!$A$2:$C$436,2,FALSE)</f>
        <v>Dina Titus</v>
      </c>
      <c r="C270" s="19" t="str">
        <f>VLOOKUP($A270,Results!$A$2:$C$436,3,FALSE)</f>
        <v>(D)</v>
      </c>
      <c r="D270" s="23">
        <v>172621.039007889</v>
      </c>
      <c r="E270" s="23">
        <v>144972.9666564274</v>
      </c>
      <c r="F270" s="23">
        <v>324286.3710561078</v>
      </c>
      <c r="G270" s="24">
        <v>0.5323104959536589</v>
      </c>
      <c r="H270" s="24">
        <v>0.4470522957356856</v>
      </c>
    </row>
    <row r="271">
      <c r="A271" s="17" t="s">
        <v>546</v>
      </c>
      <c r="B271" s="18" t="str">
        <f>VLOOKUP($A271,Results!$A$2:$C$436,2,FALSE)</f>
        <v>Mark Amodei</v>
      </c>
      <c r="C271" s="19" t="str">
        <f>VLOOKUP($A271,Results!$A$2:$C$436,3,FALSE)</f>
        <v>(R)</v>
      </c>
      <c r="D271" s="23">
        <v>173063.09772807482</v>
      </c>
      <c r="E271" s="23">
        <v>217347.6618518409</v>
      </c>
      <c r="F271" s="23">
        <v>401969.5192074797</v>
      </c>
      <c r="G271" s="24">
        <v>0.43053786284414003</v>
      </c>
      <c r="H271" s="24">
        <v>0.5407068234436333</v>
      </c>
    </row>
    <row r="272">
      <c r="A272" s="17" t="s">
        <v>548</v>
      </c>
      <c r="B272" s="18" t="str">
        <f>VLOOKUP($A272,Results!$A$2:$C$436,2,FALSE)</f>
        <v>Susie Lee</v>
      </c>
      <c r="C272" s="19" t="str">
        <f>VLOOKUP($A272,Results!$A$2:$C$436,3,FALSE)</f>
        <v>(D)</v>
      </c>
      <c r="D272" s="23">
        <v>190166.59932407233</v>
      </c>
      <c r="E272" s="23">
        <v>166068.58622728568</v>
      </c>
      <c r="F272" s="23">
        <v>363063.6946756397</v>
      </c>
      <c r="G272" s="24">
        <v>0.5237830224086899</v>
      </c>
      <c r="H272" s="24">
        <v>0.45740895788451386</v>
      </c>
    </row>
    <row r="273">
      <c r="A273" s="17" t="s">
        <v>550</v>
      </c>
      <c r="B273" s="18" t="str">
        <f>VLOOKUP($A273,Results!$A$2:$C$436,2,FALSE)</f>
        <v>Steven Horsford</v>
      </c>
      <c r="C273" s="19" t="str">
        <f>VLOOKUP($A273,Results!$A$2:$C$436,3,FALSE)</f>
        <v>(D)</v>
      </c>
      <c r="D273" s="23">
        <v>167635.26393996392</v>
      </c>
      <c r="E273" s="23">
        <v>141500.785264446</v>
      </c>
      <c r="F273" s="23">
        <v>316056.4150607728</v>
      </c>
      <c r="G273" s="24">
        <v>0.5303966505717982</v>
      </c>
      <c r="H273" s="24">
        <v>0.447707366538463</v>
      </c>
    </row>
    <row r="274">
      <c r="A274" s="17" t="s">
        <v>552</v>
      </c>
      <c r="B274" s="18" t="str">
        <f>VLOOKUP($A274,Results!$A$2:$C$436,2,FALSE)</f>
        <v>Nick LaLota</v>
      </c>
      <c r="C274" s="19" t="str">
        <f>VLOOKUP($A274,Results!$A$2:$C$436,3,FALSE)</f>
        <v>(R)</v>
      </c>
      <c r="D274" s="23">
        <v>212149.4102999434</v>
      </c>
      <c r="E274" s="23">
        <v>211235.36162988117</v>
      </c>
      <c r="F274" s="23">
        <v>428544.7385398981</v>
      </c>
      <c r="G274" s="24">
        <v>0.49504612055852365</v>
      </c>
      <c r="H274" s="24">
        <v>0.4929132074975058</v>
      </c>
    </row>
    <row r="275">
      <c r="A275" s="17" t="s">
        <v>554</v>
      </c>
      <c r="B275" s="18" t="str">
        <f>VLOOKUP($A275,Results!$A$2:$C$436,2,FALSE)</f>
        <v>Andrew Garbarino</v>
      </c>
      <c r="C275" s="19" t="str">
        <f>VLOOKUP($A275,Results!$A$2:$C$436,3,FALSE)</f>
        <v>(R)</v>
      </c>
      <c r="D275" s="23">
        <v>175558.5622526641</v>
      </c>
      <c r="E275" s="23">
        <v>180970.56243233292</v>
      </c>
      <c r="F275" s="23">
        <v>360808.2642048411</v>
      </c>
      <c r="G275" s="24">
        <v>0.48657023596608784</v>
      </c>
      <c r="H275" s="24">
        <v>0.5015698928935586</v>
      </c>
    </row>
    <row r="276">
      <c r="A276" s="17" t="s">
        <v>556</v>
      </c>
      <c r="B276" s="18" t="str">
        <f>VLOOKUP($A276,Results!$A$2:$C$436,2,FALSE)</f>
        <v>George Santos</v>
      </c>
      <c r="C276" s="19" t="str">
        <f>VLOOKUP($A276,Results!$A$2:$C$436,3,FALSE)</f>
        <v>(R)</v>
      </c>
      <c r="D276" s="23">
        <v>213370.9709431385</v>
      </c>
      <c r="E276" s="23">
        <v>180839.51458710793</v>
      </c>
      <c r="F276" s="23">
        <v>398088.9438944558</v>
      </c>
      <c r="G276" s="24">
        <v>0.5359881860966954</v>
      </c>
      <c r="H276" s="24">
        <v>0.4542691209104602</v>
      </c>
    </row>
    <row r="277">
      <c r="A277" s="17" t="s">
        <v>558</v>
      </c>
      <c r="B277" s="18" t="str">
        <f>VLOOKUP($A277,Results!$A$2:$C$436,2,FALSE)</f>
        <v>Anthony D'Esposito</v>
      </c>
      <c r="C277" s="19" t="str">
        <f>VLOOKUP($A277,Results!$A$2:$C$436,3,FALSE)</f>
        <v>(R)</v>
      </c>
      <c r="D277" s="23">
        <v>223911.27772420444</v>
      </c>
      <c r="E277" s="23">
        <v>166540.74734811956</v>
      </c>
      <c r="F277" s="23">
        <v>394489.9652844744</v>
      </c>
      <c r="G277" s="24">
        <v>0.5675968907415367</v>
      </c>
      <c r="H277" s="24">
        <v>0.4221672590024534</v>
      </c>
    </row>
    <row r="278">
      <c r="A278" s="17" t="s">
        <v>560</v>
      </c>
      <c r="B278" s="18" t="str">
        <f>VLOOKUP($A278,Results!$A$2:$C$436,2,FALSE)</f>
        <v>Gregory Meeks</v>
      </c>
      <c r="C278" s="19" t="str">
        <f>VLOOKUP($A278,Results!$A$2:$C$436,3,FALSE)</f>
        <v>(D)</v>
      </c>
      <c r="D278" s="23">
        <v>216606.0509798529</v>
      </c>
      <c r="E278" s="23">
        <v>49624.40267750519</v>
      </c>
      <c r="F278" s="23">
        <v>267734.4106668545</v>
      </c>
      <c r="G278" s="24">
        <v>0.8090332895213036</v>
      </c>
      <c r="H278" s="24">
        <v>0.18534936377398828</v>
      </c>
    </row>
    <row r="279">
      <c r="A279" s="17" t="s">
        <v>562</v>
      </c>
      <c r="B279" s="18" t="str">
        <f>VLOOKUP($A279,Results!$A$2:$C$436,2,FALSE)</f>
        <v>Grace Meng</v>
      </c>
      <c r="C279" s="19" t="str">
        <f>VLOOKUP($A279,Results!$A$2:$C$436,3,FALSE)</f>
        <v>(D)</v>
      </c>
      <c r="D279" s="23">
        <v>155613.63045169887</v>
      </c>
      <c r="E279" s="23">
        <v>82742.28289662433</v>
      </c>
      <c r="F279" s="23">
        <v>240384.33630330718</v>
      </c>
      <c r="G279" s="24">
        <v>0.6473534542423427</v>
      </c>
      <c r="H279" s="24">
        <v>0.34420829646830015</v>
      </c>
    </row>
    <row r="280">
      <c r="A280" s="17" t="s">
        <v>564</v>
      </c>
      <c r="B280" s="18" t="str">
        <f>VLOOKUP($A280,Results!$A$2:$C$436,2,FALSE)</f>
        <v>Nydia Velázquez</v>
      </c>
      <c r="C280" s="19" t="str">
        <f>VLOOKUP($A280,Results!$A$2:$C$436,3,FALSE)</f>
        <v>(D)</v>
      </c>
      <c r="D280" s="23">
        <v>207219.91527000157</v>
      </c>
      <c r="E280" s="23">
        <v>46703.00094634576</v>
      </c>
      <c r="F280" s="23">
        <v>256318.72709377104</v>
      </c>
      <c r="G280" s="24">
        <v>0.8084462560326025</v>
      </c>
      <c r="H280" s="24">
        <v>0.18220674500018114</v>
      </c>
    </row>
    <row r="281">
      <c r="A281" s="17" t="s">
        <v>566</v>
      </c>
      <c r="B281" s="18" t="str">
        <f>VLOOKUP($A281,Results!$A$2:$C$436,2,FALSE)</f>
        <v>Hakeem Jeffries</v>
      </c>
      <c r="C281" s="19" t="str">
        <f>VLOOKUP($A281,Results!$A$2:$C$436,3,FALSE)</f>
        <v>(D)</v>
      </c>
      <c r="D281" s="23">
        <v>195053.11401650147</v>
      </c>
      <c r="E281" s="23">
        <v>59000.187821337604</v>
      </c>
      <c r="F281" s="23">
        <v>255728.2862241964</v>
      </c>
      <c r="G281" s="24">
        <v>0.7627357806069949</v>
      </c>
      <c r="H281" s="24">
        <v>0.23071435973106344</v>
      </c>
    </row>
    <row r="282">
      <c r="A282" s="17" t="s">
        <v>568</v>
      </c>
      <c r="B282" s="18" t="str">
        <f>VLOOKUP($A282,Results!$A$2:$C$436,2,FALSE)</f>
        <v>Yvette Clarke</v>
      </c>
      <c r="C282" s="19" t="str">
        <f>VLOOKUP($A282,Results!$A$2:$C$436,3,FALSE)</f>
        <v>(D)</v>
      </c>
      <c r="D282" s="23">
        <v>202873.9373729122</v>
      </c>
      <c r="E282" s="23">
        <v>64228.388934550545</v>
      </c>
      <c r="F282" s="23">
        <v>268937.57629189</v>
      </c>
      <c r="G282" s="24">
        <v>0.7543532598535952</v>
      </c>
      <c r="H282" s="24">
        <v>0.2388226659142663</v>
      </c>
    </row>
    <row r="283">
      <c r="A283" s="17" t="s">
        <v>570</v>
      </c>
      <c r="B283" s="18" t="str">
        <f>VLOOKUP($A283,Results!$A$2:$C$436,2,FALSE)</f>
        <v>Dan Goldman</v>
      </c>
      <c r="C283" s="19" t="str">
        <f>VLOOKUP($A283,Results!$A$2:$C$436,3,FALSE)</f>
        <v>(D)</v>
      </c>
      <c r="D283" s="23">
        <v>244520.5415841614</v>
      </c>
      <c r="E283" s="23">
        <v>39875.07837478204</v>
      </c>
      <c r="F283" s="23">
        <v>287257.6089217237</v>
      </c>
      <c r="G283" s="24">
        <v>0.8512238979570149</v>
      </c>
      <c r="H283" s="24">
        <v>0.1388129579037463</v>
      </c>
    </row>
    <row r="284">
      <c r="A284" s="17" t="s">
        <v>572</v>
      </c>
      <c r="B284" s="18" t="str">
        <f>VLOOKUP($A284,Results!$A$2:$C$436,2,FALSE)</f>
        <v>Nicole Malliotakis</v>
      </c>
      <c r="C284" s="19" t="str">
        <f>VLOOKUP($A284,Results!$A$2:$C$436,3,FALSE)</f>
        <v>(R)</v>
      </c>
      <c r="D284" s="23">
        <v>134698.89124483019</v>
      </c>
      <c r="E284" s="23">
        <v>157207.3651179104</v>
      </c>
      <c r="F284" s="23">
        <v>294598.9284237009</v>
      </c>
      <c r="G284" s="24">
        <v>0.4572280420894887</v>
      </c>
      <c r="H284" s="24">
        <v>0.5336318294132085</v>
      </c>
    </row>
    <row r="285">
      <c r="A285" s="17" t="s">
        <v>574</v>
      </c>
      <c r="B285" s="18" t="str">
        <f>VLOOKUP($A285,Results!$A$2:$C$436,2,FALSE)</f>
        <v>Jerry Nadler</v>
      </c>
      <c r="C285" s="19" t="str">
        <f>VLOOKUP($A285,Results!$A$2:$C$436,3,FALSE)</f>
        <v>(D)</v>
      </c>
      <c r="D285" s="23">
        <v>291127.18969262653</v>
      </c>
      <c r="E285" s="23">
        <v>47208.665860032605</v>
      </c>
      <c r="F285" s="23">
        <v>341717.45872426237</v>
      </c>
      <c r="G285" s="24">
        <v>0.8519529285377895</v>
      </c>
      <c r="H285" s="24">
        <v>0.1381511674477425</v>
      </c>
    </row>
    <row r="286">
      <c r="A286" s="17" t="s">
        <v>576</v>
      </c>
      <c r="B286" s="18" t="str">
        <f>VLOOKUP($A286,Results!$A$2:$C$436,2,FALSE)</f>
        <v>Adriano Espaillat</v>
      </c>
      <c r="C286" s="19" t="str">
        <f>VLOOKUP($A286,Results!$A$2:$C$436,3,FALSE)</f>
        <v>(D)</v>
      </c>
      <c r="D286" s="23">
        <v>242302.96178595984</v>
      </c>
      <c r="E286" s="23">
        <v>30463.307447731582</v>
      </c>
      <c r="F286" s="23">
        <v>274962.20912731666</v>
      </c>
      <c r="G286" s="24">
        <v>0.8812227780500755</v>
      </c>
      <c r="H286" s="24">
        <v>0.11079088848033679</v>
      </c>
    </row>
    <row r="287">
      <c r="A287" s="17" t="s">
        <v>578</v>
      </c>
      <c r="B287" s="18" t="str">
        <f>VLOOKUP($A287,Results!$A$2:$C$436,2,FALSE)</f>
        <v>Alexandria Ocasio-Cortez</v>
      </c>
      <c r="C287" s="19" t="str">
        <f>VLOOKUP($A287,Results!$A$2:$C$436,3,FALSE)</f>
        <v>(D)</v>
      </c>
      <c r="D287" s="23">
        <v>181166.59781246714</v>
      </c>
      <c r="E287" s="23">
        <v>49634.40614545759</v>
      </c>
      <c r="F287" s="23">
        <v>232539.51950398908</v>
      </c>
      <c r="G287" s="24">
        <v>0.7790787484161776</v>
      </c>
      <c r="H287" s="24">
        <v>0.21344503614408708</v>
      </c>
    </row>
    <row r="288">
      <c r="A288" s="17" t="s">
        <v>580</v>
      </c>
      <c r="B288" s="18" t="str">
        <f>VLOOKUP($A288,Results!$A$2:$C$436,2,FALSE)</f>
        <v>Ritchie Torres</v>
      </c>
      <c r="C288" s="19" t="str">
        <f>VLOOKUP($A288,Results!$A$2:$C$436,3,FALSE)</f>
        <v>(D)</v>
      </c>
      <c r="D288" s="23">
        <v>182737.51026529458</v>
      </c>
      <c r="E288" s="23">
        <v>31733.649539738126</v>
      </c>
      <c r="F288" s="23">
        <v>215822.5519642415</v>
      </c>
      <c r="G288" s="24">
        <v>0.8467025739533068</v>
      </c>
      <c r="H288" s="24">
        <v>0.1470358368526562</v>
      </c>
    </row>
    <row r="289">
      <c r="A289" s="17" t="s">
        <v>582</v>
      </c>
      <c r="B289" s="18" t="str">
        <f>VLOOKUP($A289,Results!$A$2:$C$436,2,FALSE)</f>
        <v>Jamaal Bowman</v>
      </c>
      <c r="C289" s="19" t="str">
        <f>VLOOKUP($A289,Results!$A$2:$C$436,3,FALSE)</f>
        <v>(D)</v>
      </c>
      <c r="D289" s="23">
        <v>233157.4468053844</v>
      </c>
      <c r="E289" s="23">
        <v>90387.41833763543</v>
      </c>
      <c r="F289" s="23">
        <v>326670.76553425944</v>
      </c>
      <c r="G289" s="24">
        <v>0.7137383304687915</v>
      </c>
      <c r="H289" s="24">
        <v>0.2766927067679587</v>
      </c>
    </row>
    <row r="290">
      <c r="A290" s="17" t="s">
        <v>584</v>
      </c>
      <c r="B290" s="18" t="str">
        <f>VLOOKUP($A290,Results!$A$2:$C$436,2,FALSE)</f>
        <v>Mike Lawler</v>
      </c>
      <c r="C290" s="19" t="str">
        <f>VLOOKUP($A290,Results!$A$2:$C$436,3,FALSE)</f>
        <v>(R)</v>
      </c>
      <c r="D290" s="23">
        <v>210393.7234888646</v>
      </c>
      <c r="E290" s="23">
        <v>171536.5637581898</v>
      </c>
      <c r="F290" s="23">
        <v>386273.7077701001</v>
      </c>
      <c r="G290" s="24">
        <v>0.5446752374202113</v>
      </c>
      <c r="H290" s="24">
        <v>0.4440803510765579</v>
      </c>
    </row>
    <row r="291">
      <c r="A291" s="17" t="s">
        <v>586</v>
      </c>
      <c r="B291" s="18" t="str">
        <f>VLOOKUP($A291,Results!$A$2:$C$436,2,FALSE)</f>
        <v>Pat Ryan</v>
      </c>
      <c r="C291" s="19" t="str">
        <f>VLOOKUP($A291,Results!$A$2:$C$436,3,FALSE)</f>
        <v>(D)</v>
      </c>
      <c r="D291" s="23">
        <v>193328.52332864283</v>
      </c>
      <c r="E291" s="23">
        <v>163060.6631034158</v>
      </c>
      <c r="F291" s="23">
        <v>362003.8200498715</v>
      </c>
      <c r="G291" s="24">
        <v>0.5340510586380246</v>
      </c>
      <c r="H291" s="24">
        <v>0.45043906741357514</v>
      </c>
    </row>
    <row r="292">
      <c r="A292" s="17" t="s">
        <v>588</v>
      </c>
      <c r="B292" s="18" t="str">
        <f>VLOOKUP($A292,Results!$A$2:$C$436,2,FALSE)</f>
        <v>Marc Molinaro</v>
      </c>
      <c r="C292" s="19" t="str">
        <f>VLOOKUP($A292,Results!$A$2:$C$436,3,FALSE)</f>
        <v>(R)</v>
      </c>
      <c r="D292" s="23">
        <v>193524.29488165426</v>
      </c>
      <c r="E292" s="23">
        <v>176068.52139471527</v>
      </c>
      <c r="F292" s="23">
        <v>377209.48268166534</v>
      </c>
      <c r="G292" s="24">
        <v>0.5130419667762522</v>
      </c>
      <c r="H292" s="24">
        <v>0.46676589396164</v>
      </c>
    </row>
    <row r="293">
      <c r="A293" s="17" t="s">
        <v>590</v>
      </c>
      <c r="B293" s="18" t="str">
        <f>VLOOKUP($A293,Results!$A$2:$C$436,2,FALSE)</f>
        <v>Paul Tonko</v>
      </c>
      <c r="C293" s="19" t="str">
        <f>VLOOKUP($A293,Results!$A$2:$C$436,3,FALSE)</f>
        <v>(D)</v>
      </c>
      <c r="D293" s="23">
        <v>225895.33569151885</v>
      </c>
      <c r="E293" s="23">
        <v>151957.9822477827</v>
      </c>
      <c r="F293" s="23">
        <v>385748.9560421286</v>
      </c>
      <c r="G293" s="24">
        <v>0.5856019365787947</v>
      </c>
      <c r="H293" s="24">
        <v>0.39392973037932727</v>
      </c>
    </row>
    <row r="294">
      <c r="A294" s="17" t="s">
        <v>592</v>
      </c>
      <c r="B294" s="18" t="str">
        <f>VLOOKUP($A294,Results!$A$2:$C$436,2,FALSE)</f>
        <v>Elise Stefanik</v>
      </c>
      <c r="C294" s="19" t="str">
        <f>VLOOKUP($A294,Results!$A$2:$C$436,3,FALSE)</f>
        <v>(R)</v>
      </c>
      <c r="D294" s="23">
        <v>156071.7285316342</v>
      </c>
      <c r="E294" s="23">
        <v>201174.30821839307</v>
      </c>
      <c r="F294" s="23">
        <v>364399.2309161575</v>
      </c>
      <c r="G294" s="24">
        <v>0.42829873196835544</v>
      </c>
      <c r="H294" s="24">
        <v>0.5520711657722464</v>
      </c>
    </row>
    <row r="295">
      <c r="A295" s="17" t="s">
        <v>594</v>
      </c>
      <c r="B295" s="18" t="str">
        <f>VLOOKUP($A295,Results!$A$2:$C$436,2,FALSE)</f>
        <v>Brandon Williams</v>
      </c>
      <c r="C295" s="19" t="str">
        <f>VLOOKUP($A295,Results!$A$2:$C$436,3,FALSE)</f>
        <v>(R)</v>
      </c>
      <c r="D295" s="23">
        <v>195813.0</v>
      </c>
      <c r="E295" s="23">
        <v>168087.0</v>
      </c>
      <c r="F295" s="23">
        <v>371936.75</v>
      </c>
      <c r="G295" s="24">
        <v>0.5264685460632755</v>
      </c>
      <c r="H295" s="24">
        <v>0.4519236133563032</v>
      </c>
    </row>
    <row r="296">
      <c r="A296" s="17" t="s">
        <v>596</v>
      </c>
      <c r="B296" s="18" t="str">
        <f>VLOOKUP($A296,Results!$A$2:$C$436,2,FALSE)</f>
        <v>Nick Langworthy</v>
      </c>
      <c r="C296" s="19" t="str">
        <f>VLOOKUP($A296,Results!$A$2:$C$436,3,FALSE)</f>
        <v>(R)</v>
      </c>
      <c r="D296" s="23">
        <v>162323.92909204197</v>
      </c>
      <c r="E296" s="23">
        <v>231452.94747773334</v>
      </c>
      <c r="F296" s="23">
        <v>401626.617433683</v>
      </c>
      <c r="G296" s="24">
        <v>0.4041662630063234</v>
      </c>
      <c r="H296" s="24">
        <v>0.5762888649080911</v>
      </c>
    </row>
    <row r="297">
      <c r="A297" s="17" t="s">
        <v>598</v>
      </c>
      <c r="B297" s="18" t="str">
        <f>VLOOKUP($A297,Results!$A$2:$C$436,2,FALSE)</f>
        <v>Claudia Tenney</v>
      </c>
      <c r="C297" s="19" t="str">
        <f>VLOOKUP($A297,Results!$A$2:$C$436,3,FALSE)</f>
        <v>(R)</v>
      </c>
      <c r="D297" s="23">
        <v>150948.17801008438</v>
      </c>
      <c r="E297" s="23">
        <v>215448.14404987358</v>
      </c>
      <c r="F297" s="23">
        <v>374957.31059551344</v>
      </c>
      <c r="G297" s="24">
        <v>0.4025743031129223</v>
      </c>
      <c r="H297" s="24">
        <v>0.574593794978141</v>
      </c>
    </row>
    <row r="298">
      <c r="A298" s="17" t="s">
        <v>600</v>
      </c>
      <c r="B298" s="18" t="str">
        <f>VLOOKUP($A298,Results!$A$2:$C$436,2,FALSE)</f>
        <v>Joe Morelle</v>
      </c>
      <c r="C298" s="19" t="str">
        <f>VLOOKUP($A298,Results!$A$2:$C$436,3,FALSE)</f>
        <v>(D)</v>
      </c>
      <c r="D298" s="23">
        <v>228228.27659574468</v>
      </c>
      <c r="E298" s="23">
        <v>151738.6524822695</v>
      </c>
      <c r="F298" s="23">
        <v>388337.7021276596</v>
      </c>
      <c r="G298" s="24">
        <v>0.5877056884904738</v>
      </c>
      <c r="H298" s="24">
        <v>0.3907389152557429</v>
      </c>
    </row>
    <row r="299">
      <c r="A299" s="17" t="s">
        <v>602</v>
      </c>
      <c r="B299" s="18" t="str">
        <f>VLOOKUP($A299,Results!$A$2:$C$436,2,FALSE)</f>
        <v>Brian Higgins</v>
      </c>
      <c r="C299" s="19" t="str">
        <f>VLOOKUP($A299,Results!$A$2:$C$436,3,FALSE)</f>
        <v>(D)</v>
      </c>
      <c r="D299" s="23">
        <v>216297.0018781727</v>
      </c>
      <c r="E299" s="23">
        <v>133085.87717053416</v>
      </c>
      <c r="F299" s="23">
        <v>355672.1316800386</v>
      </c>
      <c r="G299" s="24">
        <v>0.6081359280427199</v>
      </c>
      <c r="H299" s="24">
        <v>0.3741813465730224</v>
      </c>
    </row>
    <row r="300">
      <c r="A300" s="17" t="s">
        <v>604</v>
      </c>
      <c r="B300" s="18" t="str">
        <f>VLOOKUP($A300,Results!$A$2:$C$436,2,FALSE)</f>
        <v>Greg Landsman</v>
      </c>
      <c r="C300" s="19" t="str">
        <f>VLOOKUP($A300,Results!$A$2:$C$436,3,FALSE)</f>
        <v>(D)</v>
      </c>
      <c r="D300" s="23">
        <v>220130.71926027257</v>
      </c>
      <c r="E300" s="23">
        <v>185304.78961926384</v>
      </c>
      <c r="F300" s="23">
        <v>411736.986198899</v>
      </c>
      <c r="G300" s="24">
        <v>0.5346391668440819</v>
      </c>
      <c r="H300" s="24">
        <v>0.45005621508520033</v>
      </c>
    </row>
    <row r="301">
      <c r="A301" s="17" t="s">
        <v>606</v>
      </c>
      <c r="B301" s="18" t="str">
        <f>VLOOKUP($A301,Results!$A$2:$C$436,2,FALSE)</f>
        <v>Brad Wenstrup</v>
      </c>
      <c r="C301" s="19" t="str">
        <f>VLOOKUP($A301,Results!$A$2:$C$436,3,FALSE)</f>
        <v>(R)</v>
      </c>
      <c r="D301" s="23">
        <v>100787.4548736462</v>
      </c>
      <c r="E301" s="23">
        <v>272326.1516245487</v>
      </c>
      <c r="F301" s="23">
        <v>378189.0072202166</v>
      </c>
      <c r="G301" s="24">
        <v>0.2665002232996117</v>
      </c>
      <c r="H301" s="24">
        <v>0.7200795010574573</v>
      </c>
    </row>
    <row r="302">
      <c r="A302" s="17" t="s">
        <v>608</v>
      </c>
      <c r="B302" s="18" t="str">
        <f>VLOOKUP($A302,Results!$A$2:$C$436,2,FALSE)</f>
        <v>Joyce Beatty</v>
      </c>
      <c r="C302" s="19" t="str">
        <f>VLOOKUP($A302,Results!$A$2:$C$436,3,FALSE)</f>
        <v>(D)</v>
      </c>
      <c r="D302" s="23">
        <v>271652.5773616987</v>
      </c>
      <c r="E302" s="23">
        <v>104526.11233037805</v>
      </c>
      <c r="F302" s="23">
        <v>381876.5020772623</v>
      </c>
      <c r="G302" s="24">
        <v>0.711362379942239</v>
      </c>
      <c r="H302" s="24">
        <v>0.27371705711609884</v>
      </c>
    </row>
    <row r="303">
      <c r="A303" s="17" t="s">
        <v>610</v>
      </c>
      <c r="B303" s="18" t="str">
        <f>VLOOKUP($A303,Results!$A$2:$C$436,2,FALSE)</f>
        <v>Jim Jordan</v>
      </c>
      <c r="C303" s="19" t="str">
        <f>VLOOKUP($A303,Results!$A$2:$C$436,3,FALSE)</f>
        <v>(R)</v>
      </c>
      <c r="D303" s="23">
        <v>125753.33720251409</v>
      </c>
      <c r="E303" s="23">
        <v>268732.4450587832</v>
      </c>
      <c r="F303" s="23">
        <v>400792.84489226894</v>
      </c>
      <c r="G303" s="24">
        <v>0.31376143263314976</v>
      </c>
      <c r="H303" s="24">
        <v>0.6705021022294376</v>
      </c>
    </row>
    <row r="304">
      <c r="A304" s="17" t="s">
        <v>612</v>
      </c>
      <c r="B304" s="18" t="str">
        <f>VLOOKUP($A304,Results!$A$2:$C$436,2,FALSE)</f>
        <v>Bob Latta</v>
      </c>
      <c r="C304" s="19" t="str">
        <f>VLOOKUP($A304,Results!$A$2:$C$436,3,FALSE)</f>
        <v>(R)</v>
      </c>
      <c r="D304" s="23">
        <v>142103.13294873523</v>
      </c>
      <c r="E304" s="23">
        <v>248389.09336062256</v>
      </c>
      <c r="F304" s="23">
        <v>396657.6674388616</v>
      </c>
      <c r="G304" s="24">
        <v>0.35825132000161863</v>
      </c>
      <c r="H304" s="24">
        <v>0.6262051984635031</v>
      </c>
    </row>
    <row r="305">
      <c r="A305" s="17" t="s">
        <v>614</v>
      </c>
      <c r="B305" s="18" t="str">
        <f>VLOOKUP($A305,Results!$A$2:$C$436,2,FALSE)</f>
        <v>Bill Johnson</v>
      </c>
      <c r="C305" s="19" t="str">
        <f>VLOOKUP($A305,Results!$A$2:$C$436,3,FALSE)</f>
        <v>(R)</v>
      </c>
      <c r="D305" s="23">
        <v>139489.19972394407</v>
      </c>
      <c r="E305" s="23">
        <v>254100.27621133617</v>
      </c>
      <c r="F305" s="23">
        <v>399031.2395531035</v>
      </c>
      <c r="G305" s="24">
        <v>0.3495696223688288</v>
      </c>
      <c r="H305" s="24">
        <v>0.6367929400613263</v>
      </c>
    </row>
    <row r="306">
      <c r="A306" s="17" t="s">
        <v>616</v>
      </c>
      <c r="B306" s="18" t="str">
        <f>VLOOKUP($A306,Results!$A$2:$C$436,2,FALSE)</f>
        <v>Max Miller</v>
      </c>
      <c r="C306" s="19" t="str">
        <f>VLOOKUP($A306,Results!$A$2:$C$436,3,FALSE)</f>
        <v>(R)</v>
      </c>
      <c r="D306" s="23">
        <v>192587.9955784663</v>
      </c>
      <c r="E306" s="23">
        <v>232244.70796720724</v>
      </c>
      <c r="F306" s="23">
        <v>429981.8229517127</v>
      </c>
      <c r="G306" s="24">
        <v>0.44789799312073264</v>
      </c>
      <c r="H306" s="24">
        <v>0.5401268043679337</v>
      </c>
    </row>
    <row r="307">
      <c r="A307" s="17" t="s">
        <v>618</v>
      </c>
      <c r="B307" s="18" t="str">
        <f>VLOOKUP($A307,Results!$A$2:$C$436,2,FALSE)</f>
        <v>Warren Davidson</v>
      </c>
      <c r="C307" s="19" t="str">
        <f>VLOOKUP($A307,Results!$A$2:$C$436,3,FALSE)</f>
        <v>(R)</v>
      </c>
      <c r="D307" s="23">
        <v>153373.5133681262</v>
      </c>
      <c r="E307" s="23">
        <v>241661.5457281682</v>
      </c>
      <c r="F307" s="23">
        <v>400864.9745261766</v>
      </c>
      <c r="G307" s="24">
        <v>0.3826064214001587</v>
      </c>
      <c r="H307" s="24">
        <v>0.6028502390706815</v>
      </c>
    </row>
    <row r="308">
      <c r="A308" s="17" t="s">
        <v>620</v>
      </c>
      <c r="B308" s="18" t="str">
        <f>VLOOKUP($A308,Results!$A$2:$C$436,2,FALSE)</f>
        <v>Marcy Kaptur</v>
      </c>
      <c r="C308" s="19" t="str">
        <f>VLOOKUP($A308,Results!$A$2:$C$436,3,FALSE)</f>
        <v>(D)</v>
      </c>
      <c r="D308" s="23">
        <v>186079.93974630022</v>
      </c>
      <c r="E308" s="23">
        <v>197465.4598308668</v>
      </c>
      <c r="F308" s="23">
        <v>390201.6765327696</v>
      </c>
      <c r="G308" s="24">
        <v>0.47688144602493276</v>
      </c>
      <c r="H308" s="24">
        <v>0.5060599984743619</v>
      </c>
    </row>
    <row r="309">
      <c r="A309" s="17" t="s">
        <v>622</v>
      </c>
      <c r="B309" s="18" t="str">
        <f>VLOOKUP($A309,Results!$A$2:$C$436,2,FALSE)</f>
        <v>Mike Turner</v>
      </c>
      <c r="C309" s="19" t="str">
        <f>VLOOKUP($A309,Results!$A$2:$C$436,3,FALSE)</f>
        <v>(R)</v>
      </c>
      <c r="D309" s="23">
        <v>185656.9601967346</v>
      </c>
      <c r="E309" s="23">
        <v>199446.96585031942</v>
      </c>
      <c r="F309" s="23">
        <v>391739.05714430584</v>
      </c>
      <c r="G309" s="24">
        <v>0.4739301757402855</v>
      </c>
      <c r="H309" s="24">
        <v>0.5091321945384901</v>
      </c>
    </row>
    <row r="310">
      <c r="A310" s="17" t="s">
        <v>624</v>
      </c>
      <c r="B310" s="18" t="str">
        <f>VLOOKUP($A310,Results!$A$2:$C$436,2,FALSE)</f>
        <v>Shontel Brown</v>
      </c>
      <c r="C310" s="19" t="str">
        <f>VLOOKUP($A310,Results!$A$2:$C$436,3,FALSE)</f>
        <v>(D)</v>
      </c>
      <c r="D310" s="23">
        <v>280536.65541059093</v>
      </c>
      <c r="E310" s="23">
        <v>74102.71143514966</v>
      </c>
      <c r="F310" s="23">
        <v>358396.9155794321</v>
      </c>
      <c r="G310" s="24">
        <v>0.7827541008745516</v>
      </c>
      <c r="H310" s="24">
        <v>0.20676157693864458</v>
      </c>
    </row>
    <row r="311">
      <c r="A311" s="17" t="s">
        <v>626</v>
      </c>
      <c r="B311" s="18" t="str">
        <f>VLOOKUP($A311,Results!$A$2:$C$436,2,FALSE)</f>
        <v>Troy Balderson</v>
      </c>
      <c r="C311" s="19" t="str">
        <f>VLOOKUP($A311,Results!$A$2:$C$436,3,FALSE)</f>
        <v>(R)</v>
      </c>
      <c r="D311" s="23">
        <v>131511.6923364958</v>
      </c>
      <c r="E311" s="23">
        <v>251592.34488524485</v>
      </c>
      <c r="F311" s="23">
        <v>389031.73645430565</v>
      </c>
      <c r="G311" s="24">
        <v>0.3380487503027731</v>
      </c>
      <c r="H311" s="24">
        <v>0.6467141914392273</v>
      </c>
    </row>
    <row r="312">
      <c r="A312" s="17" t="s">
        <v>628</v>
      </c>
      <c r="B312" s="18" t="str">
        <f>VLOOKUP($A312,Results!$A$2:$C$436,2,FALSE)</f>
        <v>Emilia Sykes</v>
      </c>
      <c r="C312" s="19" t="str">
        <f>VLOOKUP($A312,Results!$A$2:$C$436,3,FALSE)</f>
        <v>(D)</v>
      </c>
      <c r="D312" s="23">
        <v>205952.57324756985</v>
      </c>
      <c r="E312" s="23">
        <v>194497.02128447502</v>
      </c>
      <c r="F312" s="23">
        <v>406189.69761879835</v>
      </c>
      <c r="G312" s="24">
        <v>0.5070354429344798</v>
      </c>
      <c r="H312" s="24">
        <v>0.4788329748998384</v>
      </c>
    </row>
    <row r="313">
      <c r="A313" s="17" t="s">
        <v>630</v>
      </c>
      <c r="B313" s="18" t="str">
        <f>VLOOKUP($A313,Results!$A$2:$C$436,2,FALSE)</f>
        <v>Dave Joyce</v>
      </c>
      <c r="C313" s="19" t="str">
        <f>VLOOKUP($A313,Results!$A$2:$C$436,3,FALSE)</f>
        <v>(R)</v>
      </c>
      <c r="D313" s="23">
        <v>172805.85912648446</v>
      </c>
      <c r="E313" s="23">
        <v>234504.78233495497</v>
      </c>
      <c r="F313" s="23">
        <v>412861.9210804991</v>
      </c>
      <c r="G313" s="24">
        <v>0.4185560602785431</v>
      </c>
      <c r="H313" s="24">
        <v>0.5679980893399749</v>
      </c>
    </row>
    <row r="314">
      <c r="A314" s="17" t="s">
        <v>632</v>
      </c>
      <c r="B314" s="18" t="str">
        <f>VLOOKUP($A314,Results!$A$2:$C$436,2,FALSE)</f>
        <v>Mike Carey</v>
      </c>
      <c r="C314" s="19" t="str">
        <f>VLOOKUP($A314,Results!$A$2:$C$436,3,FALSE)</f>
        <v>(R)</v>
      </c>
      <c r="D314" s="23">
        <v>170743.38961842068</v>
      </c>
      <c r="E314" s="23">
        <v>195939.5924786812</v>
      </c>
      <c r="F314" s="23">
        <v>372827.95073138823</v>
      </c>
      <c r="G314" s="24">
        <v>0.4579683183180554</v>
      </c>
      <c r="H314" s="24">
        <v>0.5255496324626423</v>
      </c>
    </row>
    <row r="315">
      <c r="A315" s="17" t="s">
        <v>634</v>
      </c>
      <c r="B315" s="18" t="str">
        <f>VLOOKUP($A315,Results!$A$2:$C$436,2,FALSE)</f>
        <v>Kevin Hern</v>
      </c>
      <c r="C315" s="19" t="str">
        <f>VLOOKUP($A315,Results!$A$2:$C$436,3,FALSE)</f>
        <v>(R)</v>
      </c>
      <c r="D315" s="23">
        <v>121877.00877384478</v>
      </c>
      <c r="E315" s="23">
        <v>190290.74685288986</v>
      </c>
      <c r="F315" s="23">
        <v>320383.54790789215</v>
      </c>
      <c r="G315" s="24">
        <v>0.3804096982185973</v>
      </c>
      <c r="H315" s="24">
        <v>0.5939466870115222</v>
      </c>
    </row>
    <row r="316">
      <c r="A316" s="17" t="s">
        <v>636</v>
      </c>
      <c r="B316" s="18" t="str">
        <f>VLOOKUP($A316,Results!$A$2:$C$436,2,FALSE)</f>
        <v>Josh Brecheen</v>
      </c>
      <c r="C316" s="19" t="str">
        <f>VLOOKUP($A316,Results!$A$2:$C$436,3,FALSE)</f>
        <v>(R)</v>
      </c>
      <c r="D316" s="23">
        <v>71996.47185772851</v>
      </c>
      <c r="E316" s="23">
        <v>243602.0336948422</v>
      </c>
      <c r="F316" s="23">
        <v>321500.0789477176</v>
      </c>
      <c r="G316" s="24">
        <v>0.22393920428690342</v>
      </c>
      <c r="H316" s="24">
        <v>0.7577044288516545</v>
      </c>
    </row>
    <row r="317">
      <c r="A317" s="17" t="s">
        <v>638</v>
      </c>
      <c r="B317" s="18" t="str">
        <f>VLOOKUP($A317,Results!$A$2:$C$436,2,FALSE)</f>
        <v>Frank Lucas</v>
      </c>
      <c r="C317" s="19" t="str">
        <f>VLOOKUP($A317,Results!$A$2:$C$436,3,FALSE)</f>
        <v>(R)</v>
      </c>
      <c r="D317" s="23">
        <v>72506.56653001209</v>
      </c>
      <c r="E317" s="23">
        <v>194432.57907345786</v>
      </c>
      <c r="F317" s="23">
        <v>273181.98149148916</v>
      </c>
      <c r="G317" s="24">
        <v>0.2654148935231696</v>
      </c>
      <c r="H317" s="24">
        <v>0.7117328090671138</v>
      </c>
    </row>
    <row r="318">
      <c r="A318" s="17" t="s">
        <v>640</v>
      </c>
      <c r="B318" s="18" t="str">
        <f>VLOOKUP($A318,Results!$A$2:$C$436,2,FALSE)</f>
        <v>Tom Cole</v>
      </c>
      <c r="C318" s="19" t="str">
        <f>VLOOKUP($A318,Results!$A$2:$C$436,3,FALSE)</f>
        <v>(R)</v>
      </c>
      <c r="D318" s="23">
        <v>101710.83370962548</v>
      </c>
      <c r="E318" s="23">
        <v>199239.78104568014</v>
      </c>
      <c r="F318" s="23">
        <v>308407.4412214401</v>
      </c>
      <c r="G318" s="24">
        <v>0.3297937083061363</v>
      </c>
      <c r="H318" s="24">
        <v>0.6460278009395489</v>
      </c>
    </row>
    <row r="319">
      <c r="A319" s="17" t="s">
        <v>642</v>
      </c>
      <c r="B319" s="18" t="str">
        <f>VLOOKUP($A319,Results!$A$2:$C$436,2,FALSE)</f>
        <v>Stephanie Bice</v>
      </c>
      <c r="C319" s="19" t="str">
        <f>VLOOKUP($A319,Results!$A$2:$C$436,3,FALSE)</f>
        <v>(R)</v>
      </c>
      <c r="D319" s="23">
        <v>135799.11912878917</v>
      </c>
      <c r="E319" s="23">
        <v>192714.85933312995</v>
      </c>
      <c r="F319" s="23">
        <v>337225.950431461</v>
      </c>
      <c r="G319" s="24">
        <v>0.40269474800216915</v>
      </c>
      <c r="H319" s="24">
        <v>0.5714710243578898</v>
      </c>
    </row>
    <row r="320">
      <c r="A320" s="17" t="s">
        <v>644</v>
      </c>
      <c r="B320" s="18" t="str">
        <f>VLOOKUP($A320,Results!$A$2:$C$436,2,FALSE)</f>
        <v>Suzanne Bonamici</v>
      </c>
      <c r="C320" s="19" t="str">
        <f>VLOOKUP($A320,Results!$A$2:$C$436,3,FALSE)</f>
        <v>(D)</v>
      </c>
      <c r="D320" s="23">
        <v>268141.0</v>
      </c>
      <c r="E320" s="23">
        <v>113977.0</v>
      </c>
      <c r="F320" s="23">
        <v>392100.0</v>
      </c>
      <c r="G320" s="24">
        <v>0.6839</v>
      </c>
      <c r="H320" s="24">
        <v>0.2907</v>
      </c>
    </row>
    <row r="321">
      <c r="A321" s="17" t="s">
        <v>646</v>
      </c>
      <c r="B321" s="18" t="str">
        <f>VLOOKUP($A321,Results!$A$2:$C$436,2,FALSE)</f>
        <v>Cliff Bentz</v>
      </c>
      <c r="C321" s="19" t="str">
        <f>VLOOKUP($A321,Results!$A$2:$C$436,3,FALSE)</f>
        <v>(R)</v>
      </c>
      <c r="D321" s="23">
        <v>139315.0</v>
      </c>
      <c r="E321" s="23">
        <v>232311.0</v>
      </c>
      <c r="F321" s="23">
        <v>380527.0</v>
      </c>
      <c r="G321" s="24">
        <v>0.3661</v>
      </c>
      <c r="H321" s="24">
        <v>0.6105</v>
      </c>
    </row>
    <row r="322">
      <c r="A322" s="17" t="s">
        <v>648</v>
      </c>
      <c r="B322" s="18" t="str">
        <f>VLOOKUP($A322,Results!$A$2:$C$436,2,FALSE)</f>
        <v>Earl Blumenauer</v>
      </c>
      <c r="C322" s="19" t="str">
        <f>VLOOKUP($A322,Results!$A$2:$C$436,3,FALSE)</f>
        <v>(D)</v>
      </c>
      <c r="D322" s="23">
        <v>280510.0</v>
      </c>
      <c r="E322" s="23">
        <v>97552.0</v>
      </c>
      <c r="F322" s="23">
        <v>386700.0</v>
      </c>
      <c r="G322" s="24">
        <v>0.7254</v>
      </c>
      <c r="H322" s="24">
        <v>0.2523</v>
      </c>
    </row>
    <row r="323">
      <c r="A323" s="17" t="s">
        <v>650</v>
      </c>
      <c r="B323" s="18" t="str">
        <f>VLOOKUP($A323,Results!$A$2:$C$436,2,FALSE)</f>
        <v>Val Hoyle</v>
      </c>
      <c r="C323" s="19" t="str">
        <f>VLOOKUP($A323,Results!$A$2:$C$436,3,FALSE)</f>
        <v>(D)</v>
      </c>
      <c r="D323" s="23">
        <v>224343.0</v>
      </c>
      <c r="E323" s="23">
        <v>172448.0</v>
      </c>
      <c r="F323" s="23">
        <v>407431.0</v>
      </c>
      <c r="G323" s="24">
        <v>0.5506</v>
      </c>
      <c r="H323" s="24">
        <v>0.4233</v>
      </c>
    </row>
    <row r="324">
      <c r="A324" s="17" t="s">
        <v>652</v>
      </c>
      <c r="B324" s="18" t="str">
        <f>VLOOKUP($A324,Results!$A$2:$C$436,2,FALSE)</f>
        <v>Lori Chavez-DeRemer</v>
      </c>
      <c r="C324" s="19" t="str">
        <f>VLOOKUP($A324,Results!$A$2:$C$436,3,FALSE)</f>
        <v>(R)</v>
      </c>
      <c r="D324" s="23">
        <v>225723.0</v>
      </c>
      <c r="E324" s="23">
        <v>188094.0</v>
      </c>
      <c r="F324" s="23">
        <v>424112.0</v>
      </c>
      <c r="G324" s="24">
        <v>0.5322</v>
      </c>
      <c r="H324" s="24">
        <v>0.4435</v>
      </c>
    </row>
    <row r="325">
      <c r="A325" s="17" t="s">
        <v>654</v>
      </c>
      <c r="B325" s="18" t="str">
        <f>VLOOKUP($A325,Results!$A$2:$C$436,2,FALSE)</f>
        <v>Andrea Salinas</v>
      </c>
      <c r="C325" s="19" t="str">
        <f>VLOOKUP($A325,Results!$A$2:$C$436,3,FALSE)</f>
        <v>(D)</v>
      </c>
      <c r="D325" s="23">
        <v>202351.0</v>
      </c>
      <c r="E325" s="23">
        <v>154067.0</v>
      </c>
      <c r="F325" s="23">
        <v>366361.0</v>
      </c>
      <c r="G325" s="24">
        <v>0.5523</v>
      </c>
      <c r="H325" s="24">
        <v>0.4205</v>
      </c>
    </row>
    <row r="326">
      <c r="A326" s="17" t="s">
        <v>656</v>
      </c>
      <c r="B326" s="18" t="str">
        <f>VLOOKUP($A326,Results!$A$2:$C$436,2,FALSE)</f>
        <v>Brian Fitzpatrick</v>
      </c>
      <c r="C326" s="19" t="str">
        <f>VLOOKUP($A326,Results!$A$2:$C$436,3,FALSE)</f>
        <v>(R)</v>
      </c>
      <c r="D326" s="23">
        <v>241483.99709583737</v>
      </c>
      <c r="E326" s="23">
        <v>219851.80154888675</v>
      </c>
      <c r="F326" s="23">
        <v>466242.9206195547</v>
      </c>
      <c r="G326" s="24">
        <v>0.5179360080683857</v>
      </c>
      <c r="H326" s="24">
        <v>0.471539173735319</v>
      </c>
    </row>
    <row r="327">
      <c r="A327" s="17" t="s">
        <v>658</v>
      </c>
      <c r="B327" s="18" t="str">
        <f>VLOOKUP($A327,Results!$A$2:$C$436,2,FALSE)</f>
        <v>Brendan Boyle</v>
      </c>
      <c r="C327" s="19" t="str">
        <f>VLOOKUP($A327,Results!$A$2:$C$436,3,FALSE)</f>
        <v>(D)</v>
      </c>
      <c r="D327" s="23">
        <v>221373.8441271813</v>
      </c>
      <c r="E327" s="23">
        <v>88088.7491711375</v>
      </c>
      <c r="F327" s="23">
        <v>311818.56816132524</v>
      </c>
      <c r="G327" s="24">
        <v>0.7099443930890266</v>
      </c>
      <c r="H327" s="24">
        <v>0.2825000117554357</v>
      </c>
    </row>
    <row r="328">
      <c r="A328" s="17" t="s">
        <v>660</v>
      </c>
      <c r="B328" s="18" t="str">
        <f>VLOOKUP($A328,Results!$A$2:$C$436,2,FALSE)</f>
        <v>Dwight Evans</v>
      </c>
      <c r="C328" s="19" t="str">
        <f>VLOOKUP($A328,Results!$A$2:$C$436,3,FALSE)</f>
        <v>(D)</v>
      </c>
      <c r="D328" s="23">
        <v>357581.2111401545</v>
      </c>
      <c r="E328" s="23">
        <v>36720.66572728917</v>
      </c>
      <c r="F328" s="23">
        <v>396651.3839802196</v>
      </c>
      <c r="G328" s="24">
        <v>0.9014999709618725</v>
      </c>
      <c r="H328" s="24">
        <v>0.09257667364932318</v>
      </c>
    </row>
    <row r="329">
      <c r="A329" s="17" t="s">
        <v>662</v>
      </c>
      <c r="B329" s="18" t="str">
        <f>VLOOKUP($A329,Results!$A$2:$C$436,2,FALSE)</f>
        <v>Madeleine Dean</v>
      </c>
      <c r="C329" s="19" t="str">
        <f>VLOOKUP($A329,Results!$A$2:$C$436,3,FALSE)</f>
        <v>(D)</v>
      </c>
      <c r="D329" s="23">
        <v>269159.04286578903</v>
      </c>
      <c r="E329" s="23">
        <v>182686.23843216553</v>
      </c>
      <c r="F329" s="23">
        <v>456857.35892293823</v>
      </c>
      <c r="G329" s="24">
        <v>0.5891533486520685</v>
      </c>
      <c r="H329" s="24">
        <v>0.39987587999645346</v>
      </c>
    </row>
    <row r="330">
      <c r="A330" s="17" t="s">
        <v>664</v>
      </c>
      <c r="B330" s="18" t="str">
        <f>VLOOKUP($A330,Results!$A$2:$C$436,2,FALSE)</f>
        <v>Mary Gay Scanlon</v>
      </c>
      <c r="C330" s="19" t="str">
        <f>VLOOKUP($A330,Results!$A$2:$C$436,3,FALSE)</f>
        <v>(D)</v>
      </c>
      <c r="D330" s="23">
        <v>276153.4982276713</v>
      </c>
      <c r="E330" s="23">
        <v>140480.24273352767</v>
      </c>
      <c r="F330" s="23">
        <v>420262.8781009658</v>
      </c>
      <c r="G330" s="24">
        <v>0.6570970519107495</v>
      </c>
      <c r="H330" s="24">
        <v>0.334267550273089</v>
      </c>
    </row>
    <row r="331">
      <c r="A331" s="17" t="s">
        <v>666</v>
      </c>
      <c r="B331" s="18" t="str">
        <f>VLOOKUP($A331,Results!$A$2:$C$436,2,FALSE)</f>
        <v>Chrissy Houlahan</v>
      </c>
      <c r="C331" s="19" t="str">
        <f>VLOOKUP($A331,Results!$A$2:$C$436,3,FALSE)</f>
        <v>(D)</v>
      </c>
      <c r="D331" s="23">
        <v>235153.59477866063</v>
      </c>
      <c r="E331" s="23">
        <v>174191.3700340522</v>
      </c>
      <c r="F331" s="23">
        <v>414329.31668558455</v>
      </c>
      <c r="G331" s="24">
        <v>0.5675523920435199</v>
      </c>
      <c r="H331" s="24">
        <v>0.42041767989649165</v>
      </c>
    </row>
    <row r="332">
      <c r="A332" s="17" t="s">
        <v>668</v>
      </c>
      <c r="B332" s="18" t="str">
        <f>VLOOKUP($A332,Results!$A$2:$C$436,2,FALSE)</f>
        <v>Susan Wild</v>
      </c>
      <c r="C332" s="19" t="str">
        <f>VLOOKUP($A332,Results!$A$2:$C$436,3,FALSE)</f>
        <v>(D)</v>
      </c>
      <c r="D332" s="23">
        <v>197117.05570350646</v>
      </c>
      <c r="E332" s="23">
        <v>194660.1367066134</v>
      </c>
      <c r="F332" s="23">
        <v>396502.9434087883</v>
      </c>
      <c r="G332" s="24">
        <v>0.49713894683571586</v>
      </c>
      <c r="H332" s="24">
        <v>0.49094247581895467</v>
      </c>
    </row>
    <row r="333">
      <c r="A333" s="17" t="s">
        <v>670</v>
      </c>
      <c r="B333" s="18" t="str">
        <f>VLOOKUP($A333,Results!$A$2:$C$436,2,FALSE)</f>
        <v>Matt Cartwright</v>
      </c>
      <c r="C333" s="19" t="str">
        <f>VLOOKUP($A333,Results!$A$2:$C$436,3,FALSE)</f>
        <v>(D)</v>
      </c>
      <c r="D333" s="23">
        <v>183189.03566340005</v>
      </c>
      <c r="E333" s="23">
        <v>194267.05394086862</v>
      </c>
      <c r="F333" s="23">
        <v>381335.9184617153</v>
      </c>
      <c r="G333" s="24">
        <v>0.4803875711534673</v>
      </c>
      <c r="H333" s="24">
        <v>0.5094381214455997</v>
      </c>
    </row>
    <row r="334">
      <c r="A334" s="17" t="s">
        <v>672</v>
      </c>
      <c r="B334" s="18" t="str">
        <f>VLOOKUP($A334,Results!$A$2:$C$436,2,FALSE)</f>
        <v>Dan Meuser</v>
      </c>
      <c r="C334" s="19" t="str">
        <f>VLOOKUP($A334,Results!$A$2:$C$436,3,FALSE)</f>
        <v>(R)</v>
      </c>
      <c r="D334" s="23">
        <v>119969.2203977994</v>
      </c>
      <c r="E334" s="23">
        <v>261280.53900275647</v>
      </c>
      <c r="F334" s="23">
        <v>386870.68463188113</v>
      </c>
      <c r="G334" s="24">
        <v>0.3101016054290949</v>
      </c>
      <c r="H334" s="24">
        <v>0.6753691850582388</v>
      </c>
    </row>
    <row r="335">
      <c r="A335" s="17" t="s">
        <v>674</v>
      </c>
      <c r="B335" s="18" t="str">
        <f>VLOOKUP($A335,Results!$A$2:$C$436,2,FALSE)</f>
        <v>Scott Perry</v>
      </c>
      <c r="C335" s="19" t="str">
        <f>VLOOKUP($A335,Results!$A$2:$C$436,3,FALSE)</f>
        <v>(R)</v>
      </c>
      <c r="D335" s="23">
        <v>188631.88903729885</v>
      </c>
      <c r="E335" s="23">
        <v>205147.83717353918</v>
      </c>
      <c r="F335" s="23">
        <v>399567.9614990455</v>
      </c>
      <c r="G335" s="24">
        <v>0.4720896248278141</v>
      </c>
      <c r="H335" s="24">
        <v>0.5134241404238044</v>
      </c>
    </row>
    <row r="336">
      <c r="A336" s="17" t="s">
        <v>676</v>
      </c>
      <c r="B336" s="18" t="str">
        <f>VLOOKUP($A336,Results!$A$2:$C$436,2,FALSE)</f>
        <v>Lloyd Smucker</v>
      </c>
      <c r="C336" s="19" t="str">
        <f>VLOOKUP($A336,Results!$A$2:$C$436,3,FALSE)</f>
        <v>(R)</v>
      </c>
      <c r="D336" s="23">
        <v>153327.01430842606</v>
      </c>
      <c r="E336" s="23">
        <v>237722.5494435612</v>
      </c>
      <c r="F336" s="23">
        <v>397039.07567567565</v>
      </c>
      <c r="G336" s="24">
        <v>0.3861761315243248</v>
      </c>
      <c r="H336" s="24">
        <v>0.5987384214992145</v>
      </c>
    </row>
    <row r="337">
      <c r="A337" s="17" t="s">
        <v>678</v>
      </c>
      <c r="B337" s="18" t="str">
        <f>VLOOKUP($A337,Results!$A$2:$C$436,2,FALSE)</f>
        <v>Summer Lee</v>
      </c>
      <c r="C337" s="19" t="str">
        <f>VLOOKUP($A337,Results!$A$2:$C$436,3,FALSE)</f>
        <v>(D)</v>
      </c>
      <c r="D337" s="23">
        <v>255321.73792198708</v>
      </c>
      <c r="E337" s="23">
        <v>169617.4247858183</v>
      </c>
      <c r="F337" s="23">
        <v>429696.23644189985</v>
      </c>
      <c r="G337" s="24">
        <v>0.5941912362002028</v>
      </c>
      <c r="H337" s="24">
        <v>0.39473798092888956</v>
      </c>
    </row>
    <row r="338">
      <c r="A338" s="17" t="s">
        <v>680</v>
      </c>
      <c r="B338" s="18" t="str">
        <f>VLOOKUP($A338,Results!$A$2:$C$436,2,FALSE)</f>
        <v>John Joyce</v>
      </c>
      <c r="C338" s="19" t="str">
        <f>VLOOKUP($A338,Results!$A$2:$C$436,3,FALSE)</f>
        <v>(R)</v>
      </c>
      <c r="D338" s="23">
        <v>107197.55670270123</v>
      </c>
      <c r="E338" s="23">
        <v>288120.9039398004</v>
      </c>
      <c r="F338" s="23">
        <v>400131.6843749156</v>
      </c>
      <c r="G338" s="24">
        <v>0.2679056942720367</v>
      </c>
      <c r="H338" s="24">
        <v>0.7200652065079572</v>
      </c>
    </row>
    <row r="339">
      <c r="A339" s="17" t="s">
        <v>682</v>
      </c>
      <c r="B339" s="18" t="str">
        <f>VLOOKUP($A339,Results!$A$2:$C$436,2,FALSE)</f>
        <v>Guy Reschenthaler</v>
      </c>
      <c r="C339" s="19" t="str">
        <f>VLOOKUP($A339,Results!$A$2:$C$436,3,FALSE)</f>
        <v>(R)</v>
      </c>
      <c r="D339" s="23">
        <v>138892.32149560255</v>
      </c>
      <c r="E339" s="23">
        <v>268694.9568709689</v>
      </c>
      <c r="F339" s="23">
        <v>412037.80662328977</v>
      </c>
      <c r="G339" s="24">
        <v>0.3370863529098106</v>
      </c>
      <c r="H339" s="24">
        <v>0.6521123852031042</v>
      </c>
    </row>
    <row r="340">
      <c r="A340" s="17" t="s">
        <v>684</v>
      </c>
      <c r="B340" s="18" t="str">
        <f>VLOOKUP($A340,Results!$A$2:$C$436,2,FALSE)</f>
        <v>Glenn Thompson</v>
      </c>
      <c r="C340" s="19" t="str">
        <f>VLOOKUP($A340,Results!$A$2:$C$436,3,FALSE)</f>
        <v>(R)</v>
      </c>
      <c r="D340" s="23">
        <v>119458.51738410596</v>
      </c>
      <c r="E340" s="23">
        <v>263000.5880503848</v>
      </c>
      <c r="F340" s="23">
        <v>387754.4943283515</v>
      </c>
      <c r="G340" s="24">
        <v>0.3080777118806215</v>
      </c>
      <c r="H340" s="24">
        <v>0.6782657374634455</v>
      </c>
    </row>
    <row r="341">
      <c r="A341" s="17" t="s">
        <v>686</v>
      </c>
      <c r="B341" s="18" t="str">
        <f>VLOOKUP($A341,Results!$A$2:$C$436,2,FALSE)</f>
        <v>Mike Kelly</v>
      </c>
      <c r="C341" s="19" t="str">
        <f>VLOOKUP($A341,Results!$A$2:$C$436,3,FALSE)</f>
        <v>(R)</v>
      </c>
      <c r="D341" s="23">
        <v>158729.85761589403</v>
      </c>
      <c r="E341" s="23">
        <v>242664.4271523179</v>
      </c>
      <c r="F341" s="23">
        <v>406695.4701986755</v>
      </c>
      <c r="G341" s="24">
        <v>0.39029167828781725</v>
      </c>
      <c r="H341" s="24">
        <v>0.5966735430659541</v>
      </c>
    </row>
    <row r="342">
      <c r="A342" s="17" t="s">
        <v>688</v>
      </c>
      <c r="B342" s="18" t="str">
        <f>VLOOKUP($A342,Results!$A$2:$C$436,2,FALSE)</f>
        <v>Chris Deluzio</v>
      </c>
      <c r="C342" s="19" t="str">
        <f>VLOOKUP($A342,Results!$A$2:$C$436,3,FALSE)</f>
        <v>(D)</v>
      </c>
      <c r="D342" s="23">
        <v>237706.60553398426</v>
      </c>
      <c r="E342" s="23">
        <v>211204.51528631206</v>
      </c>
      <c r="F342" s="23">
        <v>454479.2978851736</v>
      </c>
      <c r="G342" s="24">
        <v>0.5230306564899728</v>
      </c>
      <c r="H342" s="24">
        <v>0.4647175707872923</v>
      </c>
    </row>
    <row r="343">
      <c r="A343" s="17" t="s">
        <v>690</v>
      </c>
      <c r="B343" s="18" t="str">
        <f>VLOOKUP($A343,Results!$A$2:$C$436,2,FALSE)</f>
        <v>Gabe Amo</v>
      </c>
      <c r="C343" s="19" t="str">
        <f>VLOOKUP($A343,Results!$A$2:$C$436,3,FALSE)</f>
        <v>(D)</v>
      </c>
      <c r="D343" s="23">
        <v>152956.44066962064</v>
      </c>
      <c r="E343" s="23">
        <v>83224.84201692599</v>
      </c>
      <c r="F343" s="23">
        <v>239684.67504149975</v>
      </c>
      <c r="G343" s="24">
        <v>0.6381569478446516</v>
      </c>
      <c r="H343" s="24">
        <v>0.34722637983640875</v>
      </c>
    </row>
    <row r="344">
      <c r="A344" s="17" t="s">
        <v>692</v>
      </c>
      <c r="B344" s="18" t="str">
        <f>VLOOKUP($A344,Results!$A$2:$C$436,2,FALSE)</f>
        <v>Seth Magaziner</v>
      </c>
      <c r="C344" s="19" t="str">
        <f>VLOOKUP($A344,Results!$A$2:$C$436,3,FALSE)</f>
        <v>(D)</v>
      </c>
      <c r="D344" s="23">
        <v>154529.5593303794</v>
      </c>
      <c r="E344" s="23">
        <v>116697.15798307396</v>
      </c>
      <c r="F344" s="23">
        <v>275313.3249585003</v>
      </c>
      <c r="G344" s="24">
        <v>0.5612861613351718</v>
      </c>
      <c r="H344" s="24">
        <v>0.42387035934662615</v>
      </c>
    </row>
    <row r="345">
      <c r="A345" s="17" t="s">
        <v>694</v>
      </c>
      <c r="B345" s="18" t="str">
        <f>VLOOKUP($A345,Results!$A$2:$C$436,2,FALSE)</f>
        <v>Nancy Mace</v>
      </c>
      <c r="C345" s="19" t="str">
        <f>VLOOKUP($A345,Results!$A$2:$C$436,3,FALSE)</f>
        <v>(R)</v>
      </c>
      <c r="D345" s="23">
        <v>171780.5710667778</v>
      </c>
      <c r="E345" s="23">
        <v>204848.14197477105</v>
      </c>
      <c r="F345" s="23">
        <v>383005.8671035609</v>
      </c>
      <c r="G345" s="24">
        <v>0.44850636980015257</v>
      </c>
      <c r="H345" s="24">
        <v>0.5348433524632722</v>
      </c>
    </row>
    <row r="346">
      <c r="A346" s="17" t="s">
        <v>696</v>
      </c>
      <c r="B346" s="18" t="str">
        <f>VLOOKUP($A346,Results!$A$2:$C$436,2,FALSE)</f>
        <v>Joe Wilson</v>
      </c>
      <c r="C346" s="19" t="str">
        <f>VLOOKUP($A346,Results!$A$2:$C$436,3,FALSE)</f>
        <v>(R)</v>
      </c>
      <c r="D346" s="23">
        <v>161002.21388049895</v>
      </c>
      <c r="E346" s="23">
        <v>199780.37538941295</v>
      </c>
      <c r="F346" s="23">
        <v>366492.31650142145</v>
      </c>
      <c r="G346" s="24">
        <v>0.4393058370703238</v>
      </c>
      <c r="H346" s="24">
        <v>0.545114771563398</v>
      </c>
    </row>
    <row r="347">
      <c r="A347" s="17" t="s">
        <v>698</v>
      </c>
      <c r="B347" s="18" t="str">
        <f>VLOOKUP($A347,Results!$A$2:$C$436,2,FALSE)</f>
        <v>Jeff Duncan</v>
      </c>
      <c r="C347" s="19" t="str">
        <f>VLOOKUP($A347,Results!$A$2:$C$436,3,FALSE)</f>
        <v>(R)</v>
      </c>
      <c r="D347" s="23">
        <v>106461.1121619322</v>
      </c>
      <c r="E347" s="23">
        <v>236980.7292704794</v>
      </c>
      <c r="F347" s="23">
        <v>348346.06168559834</v>
      </c>
      <c r="G347" s="24">
        <v>0.30561881953475123</v>
      </c>
      <c r="H347" s="24">
        <v>0.6803025937016841</v>
      </c>
    </row>
    <row r="348">
      <c r="A348" s="17" t="s">
        <v>700</v>
      </c>
      <c r="B348" s="18" t="str">
        <f>VLOOKUP($A348,Results!$A$2:$C$436,2,FALSE)</f>
        <v>William Timmons</v>
      </c>
      <c r="C348" s="19" t="str">
        <f>VLOOKUP($A348,Results!$A$2:$C$436,3,FALSE)</f>
        <v>(R)</v>
      </c>
      <c r="D348" s="23">
        <v>138170.70203870392</v>
      </c>
      <c r="E348" s="23">
        <v>202545.04614830628</v>
      </c>
      <c r="F348" s="23">
        <v>347082.0188414769</v>
      </c>
      <c r="G348" s="24">
        <v>0.39809236589064195</v>
      </c>
      <c r="H348" s="24">
        <v>0.5835653682791758</v>
      </c>
    </row>
    <row r="349">
      <c r="A349" s="17" t="s">
        <v>702</v>
      </c>
      <c r="B349" s="18" t="str">
        <f>VLOOKUP($A349,Results!$A$2:$C$436,2,FALSE)</f>
        <v>Ralph Norman</v>
      </c>
      <c r="C349" s="19" t="str">
        <f>VLOOKUP($A349,Results!$A$2:$C$436,3,FALSE)</f>
        <v>(R)</v>
      </c>
      <c r="D349" s="23">
        <v>147072.99845869778</v>
      </c>
      <c r="E349" s="23">
        <v>213483.64222850598</v>
      </c>
      <c r="F349" s="23">
        <v>365449.8850197956</v>
      </c>
      <c r="G349" s="24">
        <v>0.40244368513272666</v>
      </c>
      <c r="H349" s="24">
        <v>0.5841666695747956</v>
      </c>
    </row>
    <row r="350">
      <c r="A350" s="17" t="s">
        <v>704</v>
      </c>
      <c r="B350" s="18" t="str">
        <f>VLOOKUP($A350,Results!$A$2:$C$436,2,FALSE)</f>
        <v>Jim Clyburn</v>
      </c>
      <c r="C350" s="19" t="str">
        <f>VLOOKUP($A350,Results!$A$2:$C$436,3,FALSE)</f>
        <v>(D)</v>
      </c>
      <c r="D350" s="23">
        <v>219768.23473929815</v>
      </c>
      <c r="E350" s="23">
        <v>111768.70483261696</v>
      </c>
      <c r="F350" s="23">
        <v>336351.75986668456</v>
      </c>
      <c r="G350" s="24">
        <v>0.6533880923542807</v>
      </c>
      <c r="H350" s="24">
        <v>0.33229707160419564</v>
      </c>
    </row>
    <row r="351">
      <c r="A351" s="17" t="s">
        <v>706</v>
      </c>
      <c r="B351" s="18" t="str">
        <f>VLOOKUP($A351,Results!$A$2:$C$436,2,FALSE)</f>
        <v>Russell Fry</v>
      </c>
      <c r="C351" s="19" t="str">
        <f>VLOOKUP($A351,Results!$A$2:$C$436,3,FALSE)</f>
        <v>(R)</v>
      </c>
      <c r="D351" s="23">
        <v>147285.1676540912</v>
      </c>
      <c r="E351" s="23">
        <v>215696.3601559074</v>
      </c>
      <c r="F351" s="23">
        <v>366601.0909814623</v>
      </c>
      <c r="G351" s="24">
        <v>0.4017586725118036</v>
      </c>
      <c r="H351" s="24">
        <v>0.5883680257973221</v>
      </c>
    </row>
    <row r="352">
      <c r="A352" s="17" t="s">
        <v>708</v>
      </c>
      <c r="B352" s="18" t="str">
        <f>VLOOKUP($A352,Results!$A$2:$C$436,2,FALSE)</f>
        <v>Dusty Johnson</v>
      </c>
      <c r="C352" s="19" t="str">
        <f>VLOOKUP($A352,Results!$A$2:$C$436,3,FALSE)</f>
        <v>(R)</v>
      </c>
      <c r="D352" s="20">
        <v>150471.0</v>
      </c>
      <c r="E352" s="21">
        <v>261043.0</v>
      </c>
      <c r="F352" s="21">
        <v>422609.0</v>
      </c>
      <c r="G352" s="22">
        <v>0.3560525213613529</v>
      </c>
      <c r="H352" s="22">
        <v>0.6176938967225024</v>
      </c>
    </row>
    <row r="353">
      <c r="A353" s="17" t="s">
        <v>710</v>
      </c>
      <c r="B353" s="18" t="str">
        <f>VLOOKUP($A353,Results!$A$2:$C$436,2,FALSE)</f>
        <v>Diana Harshbarger</v>
      </c>
      <c r="C353" s="19" t="str">
        <f>VLOOKUP($A353,Results!$A$2:$C$436,3,FALSE)</f>
        <v>(R)</v>
      </c>
      <c r="D353" s="27">
        <v>74135.95288383428</v>
      </c>
      <c r="E353" s="27">
        <v>256543.88627132413</v>
      </c>
      <c r="F353" s="27">
        <v>336323.92851340375</v>
      </c>
      <c r="G353" s="28">
        <v>0.22043020611564867</v>
      </c>
      <c r="H353" s="28">
        <v>0.7627880876786913</v>
      </c>
    </row>
    <row r="354">
      <c r="A354" s="17" t="s">
        <v>712</v>
      </c>
      <c r="B354" s="18" t="str">
        <f>VLOOKUP($A354,Results!$A$2:$C$436,2,FALSE)</f>
        <v>Tim Burchett</v>
      </c>
      <c r="C354" s="19" t="str">
        <f>VLOOKUP($A354,Results!$A$2:$C$436,3,FALSE)</f>
        <v>(R)</v>
      </c>
      <c r="D354" s="27">
        <v>122695.47314399113</v>
      </c>
      <c r="E354" s="27">
        <v>226797.7245972304</v>
      </c>
      <c r="F354" s="27">
        <v>356263.8437184369</v>
      </c>
      <c r="G354" s="28">
        <v>0.3443949626304488</v>
      </c>
      <c r="H354" s="28">
        <v>0.6366004538380089</v>
      </c>
    </row>
    <row r="355">
      <c r="A355" s="17" t="s">
        <v>714</v>
      </c>
      <c r="B355" s="18" t="str">
        <f>VLOOKUP($A355,Results!$A$2:$C$436,2,FALSE)</f>
        <v>Chuck Fleischmann</v>
      </c>
      <c r="C355" s="19" t="str">
        <f>VLOOKUP($A355,Results!$A$2:$C$436,3,FALSE)</f>
        <v>(R)</v>
      </c>
      <c r="D355" s="27">
        <v>115371.35392329883</v>
      </c>
      <c r="E355" s="27">
        <v>226468.72778111824</v>
      </c>
      <c r="F355" s="27">
        <v>348163.0151092299</v>
      </c>
      <c r="G355" s="28">
        <v>0.33137165326737283</v>
      </c>
      <c r="H355" s="28">
        <v>0.6504675050279759</v>
      </c>
    </row>
    <row r="356">
      <c r="A356" s="17" t="s">
        <v>716</v>
      </c>
      <c r="B356" s="18" t="str">
        <f>VLOOKUP($A356,Results!$A$2:$C$436,2,FALSE)</f>
        <v>Scott DesJarlais</v>
      </c>
      <c r="C356" s="19" t="str">
        <f>VLOOKUP($A356,Results!$A$2:$C$436,3,FALSE)</f>
        <v>(R)</v>
      </c>
      <c r="D356" s="27">
        <v>98033.80894468419</v>
      </c>
      <c r="E356" s="27">
        <v>220497.9611612397</v>
      </c>
      <c r="F356" s="27">
        <v>324522.82267555903</v>
      </c>
      <c r="G356" s="28">
        <v>0.30208602321536343</v>
      </c>
      <c r="H356" s="28">
        <v>0.6794528635715771</v>
      </c>
    </row>
    <row r="357">
      <c r="A357" s="17" t="s">
        <v>718</v>
      </c>
      <c r="B357" s="18" t="str">
        <f>VLOOKUP($A357,Results!$A$2:$C$436,2,FALSE)</f>
        <v>Andy Ogles</v>
      </c>
      <c r="C357" s="19" t="str">
        <f>VLOOKUP($A357,Results!$A$2:$C$436,3,FALSE)</f>
        <v>(R)</v>
      </c>
      <c r="D357" s="27">
        <v>157606.0468800422</v>
      </c>
      <c r="E357" s="27">
        <v>198783.5813212437</v>
      </c>
      <c r="F357" s="27">
        <v>364674.9174647218</v>
      </c>
      <c r="G357" s="28">
        <v>0.4321823063010327</v>
      </c>
      <c r="H357" s="28">
        <v>0.5450980360898382</v>
      </c>
    </row>
    <row r="358">
      <c r="A358" s="17" t="s">
        <v>720</v>
      </c>
      <c r="B358" s="18" t="str">
        <f>VLOOKUP($A358,Results!$A$2:$C$436,2,FALSE)</f>
        <v>John Rose</v>
      </c>
      <c r="C358" s="19" t="str">
        <f>VLOOKUP($A358,Results!$A$2:$C$436,3,FALSE)</f>
        <v>(R)</v>
      </c>
      <c r="D358" s="27">
        <v>120181.3236454124</v>
      </c>
      <c r="E358" s="27">
        <v>221681.03746907163</v>
      </c>
      <c r="F358" s="27">
        <v>348369.9190668594</v>
      </c>
      <c r="G358" s="28">
        <v>0.34498192027408403</v>
      </c>
      <c r="H358" s="28">
        <v>0.6363380571516177</v>
      </c>
    </row>
    <row r="359">
      <c r="A359" s="17" t="s">
        <v>722</v>
      </c>
      <c r="B359" s="18" t="str">
        <f>VLOOKUP($A359,Results!$A$2:$C$436,2,FALSE)</f>
        <v>Mark Green</v>
      </c>
      <c r="C359" s="19" t="str">
        <f>VLOOKUP($A359,Results!$A$2:$C$436,3,FALSE)</f>
        <v>(R)</v>
      </c>
      <c r="D359" s="27">
        <v>135633.88823503372</v>
      </c>
      <c r="E359" s="27">
        <v>185341.98888182628</v>
      </c>
      <c r="F359" s="27">
        <v>328513.27172926173</v>
      </c>
      <c r="G359" s="28">
        <v>0.41287186822337557</v>
      </c>
      <c r="H359" s="28">
        <v>0.5641841740706675</v>
      </c>
    </row>
    <row r="360">
      <c r="A360" s="17" t="s">
        <v>724</v>
      </c>
      <c r="B360" s="18" t="str">
        <f>VLOOKUP($A360,Results!$A$2:$C$436,2,FALSE)</f>
        <v>David Kustoff</v>
      </c>
      <c r="C360" s="19" t="str">
        <f>VLOOKUP($A360,Results!$A$2:$C$436,3,FALSE)</f>
        <v>(R)</v>
      </c>
      <c r="D360" s="27">
        <v>110188.50247984665</v>
      </c>
      <c r="E360" s="27">
        <v>244388.6039484083</v>
      </c>
      <c r="F360" s="27">
        <v>359750.7831704535</v>
      </c>
      <c r="G360" s="28">
        <v>0.3062912094555142</v>
      </c>
      <c r="H360" s="28">
        <v>0.6793275105466957</v>
      </c>
    </row>
    <row r="361">
      <c r="A361" s="17" t="s">
        <v>726</v>
      </c>
      <c r="B361" s="18" t="str">
        <f>VLOOKUP($A361,Results!$A$2:$C$436,2,FALSE)</f>
        <v>Steve Cohen</v>
      </c>
      <c r="C361" s="19" t="str">
        <f>VLOOKUP($A361,Results!$A$2:$C$436,3,FALSE)</f>
        <v>(D)</v>
      </c>
      <c r="D361" s="27">
        <v>209864.64986385664</v>
      </c>
      <c r="E361" s="27">
        <v>71971.48856853766</v>
      </c>
      <c r="F361" s="27">
        <v>286406.49855207396</v>
      </c>
      <c r="G361" s="28">
        <v>0.7327510057377395</v>
      </c>
      <c r="H361" s="28">
        <v>0.25129139503603803</v>
      </c>
    </row>
    <row r="362">
      <c r="A362" s="17" t="s">
        <v>728</v>
      </c>
      <c r="B362" s="18" t="str">
        <f>VLOOKUP($A362,Results!$A$2:$C$436,2,FALSE)</f>
        <v>Nathaniel Moran</v>
      </c>
      <c r="C362" s="19" t="str">
        <f>VLOOKUP($A362,Results!$A$2:$C$436,3,FALSE)</f>
        <v>(R)</v>
      </c>
      <c r="D362" s="23">
        <v>86339.66514899714</v>
      </c>
      <c r="E362" s="23">
        <v>235935.3534031499</v>
      </c>
      <c r="F362" s="23">
        <v>325932.0372309774</v>
      </c>
      <c r="G362" s="24">
        <v>0.2649008237499864</v>
      </c>
      <c r="H362" s="24">
        <v>0.7238789884160735</v>
      </c>
    </row>
    <row r="363">
      <c r="A363" s="17" t="s">
        <v>730</v>
      </c>
      <c r="B363" s="18" t="str">
        <f>VLOOKUP($A363,Results!$A$2:$C$436,2,FALSE)</f>
        <v>Dan Crenshaw</v>
      </c>
      <c r="C363" s="19" t="str">
        <f>VLOOKUP($A363,Results!$A$2:$C$436,3,FALSE)</f>
        <v>(R)</v>
      </c>
      <c r="D363" s="23">
        <v>121721.50715190117</v>
      </c>
      <c r="E363" s="23">
        <v>194829.93031381827</v>
      </c>
      <c r="F363" s="23">
        <v>321027.04726295965</v>
      </c>
      <c r="G363" s="24">
        <v>0.3791627783069526</v>
      </c>
      <c r="H363" s="24">
        <v>0.6068956867495006</v>
      </c>
    </row>
    <row r="364">
      <c r="A364" s="17" t="s">
        <v>732</v>
      </c>
      <c r="B364" s="18" t="str">
        <f>VLOOKUP($A364,Results!$A$2:$C$436,2,FALSE)</f>
        <v>Keith Self</v>
      </c>
      <c r="C364" s="19" t="str">
        <f>VLOOKUP($A364,Results!$A$2:$C$436,3,FALSE)</f>
        <v>(R)</v>
      </c>
      <c r="D364" s="23">
        <v>152282.8288758368</v>
      </c>
      <c r="E364" s="23">
        <v>204522.3120280023</v>
      </c>
      <c r="F364" s="23">
        <v>362332.4476018827</v>
      </c>
      <c r="G364" s="24">
        <v>0.420284823740543</v>
      </c>
      <c r="H364" s="24">
        <v>0.5644603826724449</v>
      </c>
    </row>
    <row r="365">
      <c r="A365" s="17" t="s">
        <v>734</v>
      </c>
      <c r="B365" s="18" t="str">
        <f>VLOOKUP($A365,Results!$A$2:$C$436,2,FALSE)</f>
        <v>Pat Fallon</v>
      </c>
      <c r="C365" s="19" t="str">
        <f>VLOOKUP($A365,Results!$A$2:$C$436,3,FALSE)</f>
        <v>(R)</v>
      </c>
      <c r="D365" s="23">
        <v>125331.10095589326</v>
      </c>
      <c r="E365" s="23">
        <v>214733.12743813224</v>
      </c>
      <c r="F365" s="23">
        <v>344380.15955586015</v>
      </c>
      <c r="G365" s="24">
        <v>0.3639324086426179</v>
      </c>
      <c r="H365" s="24">
        <v>0.623535129651688</v>
      </c>
    </row>
    <row r="366">
      <c r="A366" s="17" t="s">
        <v>736</v>
      </c>
      <c r="B366" s="18" t="str">
        <f>VLOOKUP($A366,Results!$A$2:$C$436,2,FALSE)</f>
        <v>Lance Gooden</v>
      </c>
      <c r="C366" s="19" t="str">
        <f>VLOOKUP($A366,Results!$A$2:$C$436,3,FALSE)</f>
        <v>(R)</v>
      </c>
      <c r="D366" s="23">
        <v>113820.52891567313</v>
      </c>
      <c r="E366" s="23">
        <v>180707.38773610187</v>
      </c>
      <c r="F366" s="23">
        <v>298176.1425104134</v>
      </c>
      <c r="G366" s="24">
        <v>0.381722454242623</v>
      </c>
      <c r="H366" s="24">
        <v>0.6060424090763428</v>
      </c>
    </row>
    <row r="367">
      <c r="A367" s="17" t="s">
        <v>738</v>
      </c>
      <c r="B367" s="18" t="str">
        <f>VLOOKUP($A367,Results!$A$2:$C$436,2,FALSE)</f>
        <v>Jake Ellzey</v>
      </c>
      <c r="C367" s="19" t="str">
        <f>VLOOKUP($A367,Results!$A$2:$C$436,3,FALSE)</f>
        <v>(R)</v>
      </c>
      <c r="D367" s="23">
        <v>105416.94575139889</v>
      </c>
      <c r="E367" s="23">
        <v>172963.38060477914</v>
      </c>
      <c r="F367" s="23">
        <v>281937.6263050969</v>
      </c>
      <c r="G367" s="24">
        <v>0.37390165737340303</v>
      </c>
      <c r="H367" s="24">
        <v>0.6134810130578597</v>
      </c>
    </row>
    <row r="368">
      <c r="A368" s="17" t="s">
        <v>740</v>
      </c>
      <c r="B368" s="18" t="str">
        <f>VLOOKUP($A368,Results!$A$2:$C$436,2,FALSE)</f>
        <v>Lizzie Fletcher</v>
      </c>
      <c r="C368" s="19" t="str">
        <f>VLOOKUP($A368,Results!$A$2:$C$436,3,FALSE)</f>
        <v>(D)</v>
      </c>
      <c r="D368" s="23">
        <v>179327.19134669192</v>
      </c>
      <c r="E368" s="23">
        <v>96256.7399748539</v>
      </c>
      <c r="F368" s="23">
        <v>279261.4143799413</v>
      </c>
      <c r="G368" s="24">
        <v>0.642148116827602</v>
      </c>
      <c r="H368" s="24">
        <v>0.344683278886121</v>
      </c>
    </row>
    <row r="369">
      <c r="A369" s="17" t="s">
        <v>742</v>
      </c>
      <c r="B369" s="18" t="str">
        <f>VLOOKUP($A369,Results!$A$2:$C$436,2,FALSE)</f>
        <v>Morgan Luttrell</v>
      </c>
      <c r="C369" s="19" t="str">
        <f>VLOOKUP($A369,Results!$A$2:$C$436,3,FALSE)</f>
        <v>(R)</v>
      </c>
      <c r="D369" s="23">
        <v>111737.48405556373</v>
      </c>
      <c r="E369" s="23">
        <v>196658.02887479175</v>
      </c>
      <c r="F369" s="23">
        <v>312347.479729084</v>
      </c>
      <c r="G369" s="24">
        <v>0.35773454664170734</v>
      </c>
      <c r="H369" s="24">
        <v>0.6296129843767716</v>
      </c>
    </row>
    <row r="370">
      <c r="A370" s="17" t="s">
        <v>744</v>
      </c>
      <c r="B370" s="18" t="str">
        <f>VLOOKUP($A370,Results!$A$2:$C$436,2,FALSE)</f>
        <v>Al Green</v>
      </c>
      <c r="C370" s="19" t="str">
        <f>VLOOKUP($A370,Results!$A$2:$C$436,3,FALSE)</f>
        <v>(D)</v>
      </c>
      <c r="D370" s="23">
        <v>195427.82442834036</v>
      </c>
      <c r="E370" s="23">
        <v>58355.422376550705</v>
      </c>
      <c r="F370" s="23">
        <v>256506.22834784494</v>
      </c>
      <c r="G370" s="24">
        <v>0.7618833495275721</v>
      </c>
      <c r="H370" s="24">
        <v>0.22750099579420596</v>
      </c>
    </row>
    <row r="371">
      <c r="A371" s="17" t="s">
        <v>746</v>
      </c>
      <c r="B371" s="18" t="str">
        <f>VLOOKUP($A371,Results!$A$2:$C$436,2,FALSE)</f>
        <v>Michael McCaul</v>
      </c>
      <c r="C371" s="19" t="str">
        <f>VLOOKUP($A371,Results!$A$2:$C$436,3,FALSE)</f>
        <v>(R)</v>
      </c>
      <c r="D371" s="23">
        <v>135093.97957349353</v>
      </c>
      <c r="E371" s="23">
        <v>198897.36972628176</v>
      </c>
      <c r="F371" s="23">
        <v>339628.4867731334</v>
      </c>
      <c r="G371" s="24">
        <v>0.39776987159423494</v>
      </c>
      <c r="H371" s="24">
        <v>0.5856321759580261</v>
      </c>
    </row>
    <row r="372">
      <c r="A372" s="17" t="s">
        <v>748</v>
      </c>
      <c r="B372" s="18" t="str">
        <f>VLOOKUP($A372,Results!$A$2:$C$436,2,FALSE)</f>
        <v>August Pfluger</v>
      </c>
      <c r="C372" s="19" t="str">
        <f>VLOOKUP($A372,Results!$A$2:$C$436,3,FALSE)</f>
        <v>(R)</v>
      </c>
      <c r="D372" s="23">
        <v>77976.9944801367</v>
      </c>
      <c r="E372" s="23">
        <v>186083.9465765333</v>
      </c>
      <c r="F372" s="23">
        <v>267919.27780632064</v>
      </c>
      <c r="G372" s="24">
        <v>0.2910465985075789</v>
      </c>
      <c r="H372" s="24">
        <v>0.6945522849276032</v>
      </c>
    </row>
    <row r="373">
      <c r="A373" s="17" t="s">
        <v>750</v>
      </c>
      <c r="B373" s="18" t="str">
        <f>VLOOKUP($A373,Results!$A$2:$C$436,2,FALSE)</f>
        <v>Kay Granger</v>
      </c>
      <c r="C373" s="19" t="str">
        <f>VLOOKUP($A373,Results!$A$2:$C$436,3,FALSE)</f>
        <v>(R)</v>
      </c>
      <c r="D373" s="23">
        <v>130234.8118676436</v>
      </c>
      <c r="E373" s="23">
        <v>189089.31366655</v>
      </c>
      <c r="F373" s="23">
        <v>324606.4727680646</v>
      </c>
      <c r="G373" s="24">
        <v>0.4012083023393622</v>
      </c>
      <c r="H373" s="24">
        <v>0.582518617247835</v>
      </c>
    </row>
    <row r="374">
      <c r="A374" s="17" t="s">
        <v>752</v>
      </c>
      <c r="B374" s="18" t="str">
        <f>VLOOKUP($A374,Results!$A$2:$C$436,2,FALSE)</f>
        <v>Ronny Jackson</v>
      </c>
      <c r="C374" s="19" t="str">
        <f>VLOOKUP($A374,Results!$A$2:$C$436,3,FALSE)</f>
        <v>(R)</v>
      </c>
      <c r="D374" s="23">
        <v>79205.81130522209</v>
      </c>
      <c r="E374" s="23">
        <v>215372.2223722359</v>
      </c>
      <c r="F374" s="23">
        <v>299330.5636793715</v>
      </c>
      <c r="G374" s="24">
        <v>0.26460983580034125</v>
      </c>
      <c r="H374" s="24">
        <v>0.7195129682879036</v>
      </c>
    </row>
    <row r="375">
      <c r="A375" s="17" t="s">
        <v>754</v>
      </c>
      <c r="B375" s="18" t="str">
        <f>VLOOKUP($A375,Results!$A$2:$C$436,2,FALSE)</f>
        <v>Randy Weber</v>
      </c>
      <c r="C375" s="19" t="str">
        <f>VLOOKUP($A375,Results!$A$2:$C$436,3,FALSE)</f>
        <v>(R)</v>
      </c>
      <c r="D375" s="23">
        <v>110036.05719933713</v>
      </c>
      <c r="E375" s="23">
        <v>199674.58909834563</v>
      </c>
      <c r="F375" s="23">
        <v>314087.9973704524</v>
      </c>
      <c r="G375" s="24">
        <v>0.35033512302463005</v>
      </c>
      <c r="H375" s="24">
        <v>0.6357281741741905</v>
      </c>
    </row>
    <row r="376">
      <c r="A376" s="17" t="s">
        <v>756</v>
      </c>
      <c r="B376" s="18" t="str">
        <f>VLOOKUP($A376,Results!$A$2:$C$436,2,FALSE)</f>
        <v>Monica De La Cruz</v>
      </c>
      <c r="C376" s="19" t="str">
        <f>VLOOKUP($A376,Results!$A$2:$C$436,3,FALSE)</f>
        <v>(R)</v>
      </c>
      <c r="D376" s="23">
        <v>109176.78573452683</v>
      </c>
      <c r="E376" s="23">
        <v>115721.73078551373</v>
      </c>
      <c r="F376" s="23">
        <v>227088.91781514612</v>
      </c>
      <c r="G376" s="24">
        <v>0.4807666828700043</v>
      </c>
      <c r="H376" s="24">
        <v>0.5095877504674755</v>
      </c>
    </row>
    <row r="377">
      <c r="A377" s="17" t="s">
        <v>758</v>
      </c>
      <c r="B377" s="18" t="str">
        <f>VLOOKUP($A377,Results!$A$2:$C$436,2,FALSE)</f>
        <v>Veronica Escobar</v>
      </c>
      <c r="C377" s="19" t="str">
        <f>VLOOKUP($A377,Results!$A$2:$C$436,3,FALSE)</f>
        <v>(D)</v>
      </c>
      <c r="D377" s="23">
        <v>163504.81344490417</v>
      </c>
      <c r="E377" s="23">
        <v>76975.88921866754</v>
      </c>
      <c r="F377" s="23">
        <v>244212.3888787176</v>
      </c>
      <c r="G377" s="24">
        <v>0.6695189142353668</v>
      </c>
      <c r="H377" s="24">
        <v>0.31520059065019757</v>
      </c>
    </row>
    <row r="378">
      <c r="A378" s="17" t="s">
        <v>760</v>
      </c>
      <c r="B378" s="18" t="str">
        <f>VLOOKUP($A378,Results!$A$2:$C$436,2,FALSE)</f>
        <v>Pete Sessions</v>
      </c>
      <c r="C378" s="19" t="str">
        <f>VLOOKUP($A378,Results!$A$2:$C$436,3,FALSE)</f>
        <v>(R)</v>
      </c>
      <c r="D378" s="23">
        <v>114751.0675933781</v>
      </c>
      <c r="E378" s="23">
        <v>182847.46052811077</v>
      </c>
      <c r="F378" s="23">
        <v>302045.3254518557</v>
      </c>
      <c r="G378" s="24">
        <v>0.379913403465894</v>
      </c>
      <c r="H378" s="24">
        <v>0.6053643116461856</v>
      </c>
    </row>
    <row r="379">
      <c r="A379" s="17" t="s">
        <v>762</v>
      </c>
      <c r="B379" s="18" t="str">
        <f>VLOOKUP($A379,Results!$A$2:$C$436,2,FALSE)</f>
        <v>Sheila Jackson Lee</v>
      </c>
      <c r="C379" s="19" t="str">
        <f>VLOOKUP($A379,Results!$A$2:$C$436,3,FALSE)</f>
        <v>(D)</v>
      </c>
      <c r="D379" s="23">
        <v>177368.07741187603</v>
      </c>
      <c r="E379" s="23">
        <v>60369.56240872207</v>
      </c>
      <c r="F379" s="23">
        <v>240981.8473670774</v>
      </c>
      <c r="G379" s="24">
        <v>0.7360225649764348</v>
      </c>
      <c r="H379" s="24">
        <v>0.2505149789011439</v>
      </c>
    </row>
    <row r="380">
      <c r="A380" s="17" t="s">
        <v>764</v>
      </c>
      <c r="B380" s="18" t="str">
        <f>VLOOKUP($A380,Results!$A$2:$C$436,2,FALSE)</f>
        <v>Jodey Arrington</v>
      </c>
      <c r="C380" s="19" t="str">
        <f>VLOOKUP($A380,Results!$A$2:$C$436,3,FALSE)</f>
        <v>(R)</v>
      </c>
      <c r="D380" s="23">
        <v>73173.61649380153</v>
      </c>
      <c r="E380" s="23">
        <v>202461.44762042715</v>
      </c>
      <c r="F380" s="23">
        <v>279620.5734139527</v>
      </c>
      <c r="G380" s="24">
        <v>0.26168895800622893</v>
      </c>
      <c r="H380" s="24">
        <v>0.7240577656662676</v>
      </c>
    </row>
    <row r="381">
      <c r="A381" s="17" t="s">
        <v>766</v>
      </c>
      <c r="B381" s="18" t="str">
        <f>VLOOKUP($A381,Results!$A$2:$C$436,2,FALSE)</f>
        <v>Joaquin Castro</v>
      </c>
      <c r="C381" s="19" t="str">
        <f>VLOOKUP($A381,Results!$A$2:$C$436,3,FALSE)</f>
        <v>(D)</v>
      </c>
      <c r="D381" s="23">
        <v>172366.95714943</v>
      </c>
      <c r="E381" s="23">
        <v>85594.95231229211</v>
      </c>
      <c r="F381" s="23">
        <v>262144.2654370527</v>
      </c>
      <c r="G381" s="24">
        <v>0.657527094335083</v>
      </c>
      <c r="H381" s="24">
        <v>0.32651849991677795</v>
      </c>
    </row>
    <row r="382">
      <c r="A382" s="17" t="s">
        <v>768</v>
      </c>
      <c r="B382" s="18" t="str">
        <f>VLOOKUP($A382,Results!$A$2:$C$436,2,FALSE)</f>
        <v>Chip Roy</v>
      </c>
      <c r="C382" s="19" t="str">
        <f>VLOOKUP($A382,Results!$A$2:$C$436,3,FALSE)</f>
        <v>(R)</v>
      </c>
      <c r="D382" s="23">
        <v>164212.87002261952</v>
      </c>
      <c r="E382" s="23">
        <v>246263.07255006774</v>
      </c>
      <c r="F382" s="23">
        <v>416581.2650774005</v>
      </c>
      <c r="G382" s="24">
        <v>0.3941916830851932</v>
      </c>
      <c r="H382" s="24">
        <v>0.5911525389993529</v>
      </c>
    </row>
    <row r="383">
      <c r="A383" s="17" t="s">
        <v>770</v>
      </c>
      <c r="B383" s="18" t="str">
        <f>VLOOKUP($A383,Results!$A$2:$C$436,2,FALSE)</f>
        <v>Troy Nehls</v>
      </c>
      <c r="C383" s="19" t="str">
        <f>VLOOKUP($A383,Results!$A$2:$C$436,3,FALSE)</f>
        <v>(R)</v>
      </c>
      <c r="D383" s="23">
        <v>138253.54653420887</v>
      </c>
      <c r="E383" s="23">
        <v>191936.97124089667</v>
      </c>
      <c r="F383" s="23">
        <v>334585.2443765168</v>
      </c>
      <c r="G383" s="24">
        <v>0.4132087378564395</v>
      </c>
      <c r="H383" s="24">
        <v>0.5736564133261819</v>
      </c>
    </row>
    <row r="384">
      <c r="A384" s="17" t="s">
        <v>772</v>
      </c>
      <c r="B384" s="18" t="str">
        <f>VLOOKUP($A384,Results!$A$2:$C$436,2,FALSE)</f>
        <v>Tony Gonzales</v>
      </c>
      <c r="C384" s="19" t="str">
        <f>VLOOKUP($A384,Results!$A$2:$C$436,3,FALSE)</f>
        <v>(R)</v>
      </c>
      <c r="D384" s="23">
        <v>134552.29610086716</v>
      </c>
      <c r="E384" s="23">
        <v>155681.4449512725</v>
      </c>
      <c r="F384" s="23">
        <v>294018.8429225354</v>
      </c>
      <c r="G384" s="24">
        <v>0.45763154076596857</v>
      </c>
      <c r="H384" s="24">
        <v>0.5294947881700549</v>
      </c>
    </row>
    <row r="385">
      <c r="A385" s="17" t="s">
        <v>774</v>
      </c>
      <c r="B385" s="18" t="str">
        <f>VLOOKUP($A385,Results!$A$2:$C$436,2,FALSE)</f>
        <v>Beth Van Duyne</v>
      </c>
      <c r="C385" s="19" t="str">
        <f>VLOOKUP($A385,Results!$A$2:$C$436,3,FALSE)</f>
        <v>(R)</v>
      </c>
      <c r="D385" s="23">
        <v>168123.66337265013</v>
      </c>
      <c r="E385" s="23">
        <v>216345.05788319733</v>
      </c>
      <c r="F385" s="23">
        <v>390681.45426418865</v>
      </c>
      <c r="G385" s="24">
        <v>0.43033438505366234</v>
      </c>
      <c r="H385" s="24">
        <v>0.5537633166915042</v>
      </c>
    </row>
    <row r="386">
      <c r="A386" s="17" t="s">
        <v>776</v>
      </c>
      <c r="B386" s="18" t="str">
        <f>VLOOKUP($A386,Results!$A$2:$C$436,2,FALSE)</f>
        <v>Roger Williams</v>
      </c>
      <c r="C386" s="19" t="str">
        <f>VLOOKUP($A386,Results!$A$2:$C$436,3,FALSE)</f>
        <v>(R)</v>
      </c>
      <c r="D386" s="23">
        <v>112308.99608334072</v>
      </c>
      <c r="E386" s="23">
        <v>215978.53201384752</v>
      </c>
      <c r="F386" s="23">
        <v>332712.3438023934</v>
      </c>
      <c r="G386" s="24">
        <v>0.33755584418606355</v>
      </c>
      <c r="H386" s="24">
        <v>0.6491449326632823</v>
      </c>
    </row>
    <row r="387">
      <c r="A387" s="17" t="s">
        <v>778</v>
      </c>
      <c r="B387" s="18" t="str">
        <f>VLOOKUP($A387,Results!$A$2:$C$436,2,FALSE)</f>
        <v>Michael Burgess</v>
      </c>
      <c r="C387" s="19" t="str">
        <f>VLOOKUP($A387,Results!$A$2:$C$436,3,FALSE)</f>
        <v>(R)</v>
      </c>
      <c r="D387" s="23">
        <v>144823.29907086107</v>
      </c>
      <c r="E387" s="23">
        <v>211962.99612364947</v>
      </c>
      <c r="F387" s="23">
        <v>361988.84823902213</v>
      </c>
      <c r="G387" s="24">
        <v>0.4000766868244347</v>
      </c>
      <c r="H387" s="24">
        <v>0.5855511769348479</v>
      </c>
    </row>
    <row r="388">
      <c r="A388" s="17" t="s">
        <v>780</v>
      </c>
      <c r="B388" s="18" t="str">
        <f>VLOOKUP($A388,Results!$A$2:$C$436,2,FALSE)</f>
        <v>Michael Cloud</v>
      </c>
      <c r="C388" s="19" t="str">
        <f>VLOOKUP($A388,Results!$A$2:$C$436,3,FALSE)</f>
        <v>(R)</v>
      </c>
      <c r="D388" s="23">
        <v>109719.73644235995</v>
      </c>
      <c r="E388" s="23">
        <v>174253.2593308768</v>
      </c>
      <c r="F388" s="23">
        <v>287748.0505866495</v>
      </c>
      <c r="G388" s="24">
        <v>0.38130488188770567</v>
      </c>
      <c r="H388" s="24">
        <v>0.6055758118104225</v>
      </c>
    </row>
    <row r="389">
      <c r="A389" s="17" t="s">
        <v>782</v>
      </c>
      <c r="B389" s="18" t="str">
        <f>VLOOKUP($A389,Results!$A$2:$C$436,2,FALSE)</f>
        <v>Henry Cuellar</v>
      </c>
      <c r="C389" s="19" t="str">
        <f>VLOOKUP($A389,Results!$A$2:$C$436,3,FALSE)</f>
        <v>(D)</v>
      </c>
      <c r="D389" s="23">
        <v>131725.87806142838</v>
      </c>
      <c r="E389" s="23">
        <v>114183.52683569316</v>
      </c>
      <c r="F389" s="23">
        <v>249012.02531178945</v>
      </c>
      <c r="G389" s="24">
        <v>0.5289940431450795</v>
      </c>
      <c r="H389" s="24">
        <v>0.4585462356395169</v>
      </c>
    </row>
    <row r="390">
      <c r="A390" s="17" t="s">
        <v>784</v>
      </c>
      <c r="B390" s="18" t="str">
        <f>VLOOKUP($A390,Results!$A$2:$C$436,2,FALSE)</f>
        <v>Sylvia Garcia</v>
      </c>
      <c r="C390" s="19" t="str">
        <f>VLOOKUP($A390,Results!$A$2:$C$436,3,FALSE)</f>
        <v>(D)</v>
      </c>
      <c r="D390" s="23">
        <v>118450.23937816039</v>
      </c>
      <c r="E390" s="23">
        <v>54252.505696548986</v>
      </c>
      <c r="F390" s="23">
        <v>174765.49925543062</v>
      </c>
      <c r="G390" s="24">
        <v>0.6777667210221968</v>
      </c>
      <c r="H390" s="24">
        <v>0.3104302961836626</v>
      </c>
    </row>
    <row r="391">
      <c r="A391" s="17" t="s">
        <v>786</v>
      </c>
      <c r="B391" s="18" t="str">
        <f>VLOOKUP($A391,Results!$A$2:$C$436,2,FALSE)</f>
        <v>Jasmine Crockett</v>
      </c>
      <c r="C391" s="19" t="str">
        <f>VLOOKUP($A391,Results!$A$2:$C$436,3,FALSE)</f>
        <v>(D)</v>
      </c>
      <c r="D391" s="23">
        <v>217199.22534367497</v>
      </c>
      <c r="E391" s="23">
        <v>58707.61284419896</v>
      </c>
      <c r="F391" s="23">
        <v>279332.3595963905</v>
      </c>
      <c r="G391" s="24">
        <v>0.7775655697660945</v>
      </c>
      <c r="H391" s="24">
        <v>0.21017118435195278</v>
      </c>
    </row>
    <row r="392">
      <c r="A392" s="17" t="s">
        <v>788</v>
      </c>
      <c r="B392" s="18" t="str">
        <f>VLOOKUP($A392,Results!$A$2:$C$436,2,FALSE)</f>
        <v>John Carter</v>
      </c>
      <c r="C392" s="19" t="str">
        <f>VLOOKUP($A392,Results!$A$2:$C$436,3,FALSE)</f>
        <v>(R)</v>
      </c>
      <c r="D392" s="23">
        <v>133164.98396820814</v>
      </c>
      <c r="E392" s="23">
        <v>202405.98355550074</v>
      </c>
      <c r="F392" s="23">
        <v>341869.3888505435</v>
      </c>
      <c r="G392" s="24">
        <v>0.38952005739953643</v>
      </c>
      <c r="H392" s="24">
        <v>0.5920564699754017</v>
      </c>
    </row>
    <row r="393">
      <c r="A393" s="17" t="s">
        <v>790</v>
      </c>
      <c r="B393" s="18" t="str">
        <f>VLOOKUP($A393,Results!$A$2:$C$436,2,FALSE)</f>
        <v>Colin Allred</v>
      </c>
      <c r="C393" s="19" t="str">
        <f>VLOOKUP($A393,Results!$A$2:$C$436,3,FALSE)</f>
        <v>(D)</v>
      </c>
      <c r="D393" s="23">
        <v>172823.26652111212</v>
      </c>
      <c r="E393" s="23">
        <v>86039.83655649361</v>
      </c>
      <c r="F393" s="23">
        <v>263238.9110424537</v>
      </c>
      <c r="G393" s="24">
        <v>0.6565262933079075</v>
      </c>
      <c r="H393" s="24">
        <v>0.32685075400048885</v>
      </c>
    </row>
    <row r="394">
      <c r="A394" s="17" t="s">
        <v>792</v>
      </c>
      <c r="B394" s="18" t="str">
        <f>VLOOKUP($A394,Results!$A$2:$C$436,2,FALSE)</f>
        <v>Marc Veasey</v>
      </c>
      <c r="C394" s="19" t="str">
        <f>VLOOKUP($A394,Results!$A$2:$C$436,3,FALSE)</f>
        <v>(D)</v>
      </c>
      <c r="D394" s="23">
        <v>139290.23215388285</v>
      </c>
      <c r="E394" s="23">
        <v>45684.91243987229</v>
      </c>
      <c r="F394" s="23">
        <v>187606.35064250403</v>
      </c>
      <c r="G394" s="24">
        <v>0.7424601122342034</v>
      </c>
      <c r="H394" s="24">
        <v>0.24351474394876874</v>
      </c>
    </row>
    <row r="395">
      <c r="A395" s="17" t="s">
        <v>794</v>
      </c>
      <c r="B395" s="18" t="str">
        <f>VLOOKUP($A395,Results!$A$2:$C$436,2,FALSE)</f>
        <v>Vicente Gonzalez</v>
      </c>
      <c r="C395" s="19" t="str">
        <f>VLOOKUP($A395,Results!$A$2:$C$436,3,FALSE)</f>
        <v>(D)</v>
      </c>
      <c r="D395" s="23">
        <v>116856.43392680903</v>
      </c>
      <c r="E395" s="23">
        <v>85152.6657337713</v>
      </c>
      <c r="F395" s="23">
        <v>203935.05208137317</v>
      </c>
      <c r="G395" s="24">
        <v>0.5730080863204504</v>
      </c>
      <c r="H395" s="24">
        <v>0.4175479637497241</v>
      </c>
    </row>
    <row r="396">
      <c r="A396" s="17" t="s">
        <v>796</v>
      </c>
      <c r="B396" s="18" t="str">
        <f>VLOOKUP($A396,Results!$A$2:$C$436,2,FALSE)</f>
        <v>Greg Casar</v>
      </c>
      <c r="C396" s="19" t="str">
        <f>VLOOKUP($A396,Results!$A$2:$C$436,3,FALSE)</f>
        <v>(D)</v>
      </c>
      <c r="D396" s="23">
        <v>187900.36207074008</v>
      </c>
      <c r="E396" s="23">
        <v>69342.25861766851</v>
      </c>
      <c r="F396" s="23">
        <v>262091.999049794</v>
      </c>
      <c r="G396" s="24">
        <v>0.7169252123375256</v>
      </c>
      <c r="H396" s="24">
        <v>0.2645722069695627</v>
      </c>
    </row>
    <row r="397">
      <c r="A397" s="17" t="s">
        <v>798</v>
      </c>
      <c r="B397" s="18" t="str">
        <f>VLOOKUP($A397,Results!$A$2:$C$436,2,FALSE)</f>
        <v>Brian Babin</v>
      </c>
      <c r="C397" s="19" t="str">
        <f>VLOOKUP($A397,Results!$A$2:$C$436,3,FALSE)</f>
        <v>(R)</v>
      </c>
      <c r="D397" s="23">
        <v>102316.13075413276</v>
      </c>
      <c r="E397" s="23">
        <v>198540.40420849595</v>
      </c>
      <c r="F397" s="23">
        <v>304671.87244675297</v>
      </c>
      <c r="G397" s="24">
        <v>0.3358240126745353</v>
      </c>
      <c r="H397" s="24">
        <v>0.6516532117456776</v>
      </c>
    </row>
    <row r="398">
      <c r="A398" s="17" t="s">
        <v>800</v>
      </c>
      <c r="B398" s="18" t="str">
        <f>VLOOKUP($A398,Results!$A$2:$C$436,2,FALSE)</f>
        <v>Lloyd Doggett</v>
      </c>
      <c r="C398" s="19" t="str">
        <f>VLOOKUP($A398,Results!$A$2:$C$436,3,FALSE)</f>
        <v>(D)</v>
      </c>
      <c r="D398" s="23">
        <v>289225.65293952567</v>
      </c>
      <c r="E398" s="23">
        <v>86849.4824191102</v>
      </c>
      <c r="F398" s="23">
        <v>383153.5271984261</v>
      </c>
      <c r="G398" s="24">
        <v>0.7548557755798566</v>
      </c>
      <c r="H398" s="24">
        <v>0.22667018898179928</v>
      </c>
    </row>
    <row r="399">
      <c r="A399" s="17" t="s">
        <v>802</v>
      </c>
      <c r="B399" s="18" t="str">
        <f>VLOOKUP($A399,Results!$A$2:$C$436,2,FALSE)</f>
        <v>Wesley Hunt</v>
      </c>
      <c r="C399" s="19" t="str">
        <f>VLOOKUP($A399,Results!$A$2:$C$436,3,FALSE)</f>
        <v>(R)</v>
      </c>
      <c r="D399" s="23">
        <v>143907.1383713721</v>
      </c>
      <c r="E399" s="23">
        <v>208722.3099349781</v>
      </c>
      <c r="F399" s="23">
        <v>357580.26557063067</v>
      </c>
      <c r="G399" s="24">
        <v>0.40244709293932496</v>
      </c>
      <c r="H399" s="24">
        <v>0.5837075757016307</v>
      </c>
    </row>
    <row r="400">
      <c r="A400" s="17" t="s">
        <v>804</v>
      </c>
      <c r="B400" s="18" t="str">
        <f>VLOOKUP($A400,Results!$A$2:$C$436,2,FALSE)</f>
        <v>Blake Moore</v>
      </c>
      <c r="C400" s="19" t="str">
        <f>VLOOKUP($A400,Results!$A$2:$C$436,3,FALSE)</f>
        <v>(R)</v>
      </c>
      <c r="D400" s="23">
        <v>142221.0644835242</v>
      </c>
      <c r="E400" s="23">
        <v>216684.57100675793</v>
      </c>
      <c r="F400" s="23">
        <v>374776.0569980248</v>
      </c>
      <c r="G400" s="24">
        <v>0.37948279199776563</v>
      </c>
      <c r="H400" s="24">
        <v>0.5781707954942809</v>
      </c>
    </row>
    <row r="401">
      <c r="A401" s="17" t="s">
        <v>806</v>
      </c>
      <c r="B401" s="18" t="str">
        <f>VLOOKUP($A401,Results!$A$2:$C$436,2,FALSE)</f>
        <v>Celeste Maloy</v>
      </c>
      <c r="C401" s="19" t="str">
        <f>VLOOKUP($A401,Results!$A$2:$C$436,3,FALSE)</f>
        <v>(R)</v>
      </c>
      <c r="D401" s="23">
        <v>143193.51362690487</v>
      </c>
      <c r="E401" s="23">
        <v>205210.2452992835</v>
      </c>
      <c r="F401" s="23">
        <v>362061.4933922421</v>
      </c>
      <c r="G401" s="24">
        <v>0.395495009108232</v>
      </c>
      <c r="H401" s="24">
        <v>0.5667828505501064</v>
      </c>
    </row>
    <row r="402">
      <c r="A402" s="17" t="s">
        <v>808</v>
      </c>
      <c r="B402" s="18" t="str">
        <f>VLOOKUP($A402,Results!$A$2:$C$436,2,FALSE)</f>
        <v>John Curtis</v>
      </c>
      <c r="C402" s="19" t="str">
        <f>VLOOKUP($A402,Results!$A$2:$C$436,3,FALSE)</f>
        <v>(R)</v>
      </c>
      <c r="D402" s="23">
        <v>149657.6360736215</v>
      </c>
      <c r="E402" s="23">
        <v>224849.35389475807</v>
      </c>
      <c r="F402" s="23">
        <v>391104.5673040198</v>
      </c>
      <c r="G402" s="24">
        <v>0.3826537672654873</v>
      </c>
      <c r="H402" s="24">
        <v>0.5749085351897066</v>
      </c>
    </row>
    <row r="403">
      <c r="A403" s="17" t="s">
        <v>810</v>
      </c>
      <c r="B403" s="18" t="str">
        <f>VLOOKUP($A403,Results!$A$2:$C$436,2,FALSE)</f>
        <v>Burgess Owens</v>
      </c>
      <c r="C403" s="19" t="str">
        <f>VLOOKUP($A403,Results!$A$2:$C$436,3,FALSE)</f>
        <v>(R)</v>
      </c>
      <c r="D403" s="23">
        <v>125209.78581594939</v>
      </c>
      <c r="E403" s="23">
        <v>218395.8297992005</v>
      </c>
      <c r="F403" s="23">
        <v>359734.88230571337</v>
      </c>
      <c r="G403" s="24">
        <v>0.3480612861711376</v>
      </c>
      <c r="H403" s="24">
        <v>0.607102175911874</v>
      </c>
    </row>
    <row r="404">
      <c r="A404" s="17" t="s">
        <v>812</v>
      </c>
      <c r="B404" s="18" t="str">
        <f>VLOOKUP($A404,Results!$A$2:$C$436,2,FALSE)</f>
        <v>Rob Wittman</v>
      </c>
      <c r="C404" s="19" t="str">
        <f>VLOOKUP($A404,Results!$A$2:$C$436,3,FALSE)</f>
        <v>(R)</v>
      </c>
      <c r="D404" s="23">
        <v>215573.84338531987</v>
      </c>
      <c r="E404" s="23">
        <v>244413.42047862278</v>
      </c>
      <c r="F404" s="23">
        <v>466891.58924728376</v>
      </c>
      <c r="G404" s="24">
        <v>0.4617214110300532</v>
      </c>
      <c r="H404" s="24">
        <v>0.5234907334112888</v>
      </c>
    </row>
    <row r="405">
      <c r="A405" s="17" t="s">
        <v>814</v>
      </c>
      <c r="B405" s="18" t="str">
        <f>VLOOKUP($A405,Results!$A$2:$C$436,2,FALSE)</f>
        <v>Jen Kiggans</v>
      </c>
      <c r="C405" s="19" t="str">
        <f>VLOOKUP($A405,Results!$A$2:$C$436,3,FALSE)</f>
        <v>(R)</v>
      </c>
      <c r="D405" s="23">
        <v>201895.69168185827</v>
      </c>
      <c r="E405" s="23">
        <v>194172.57472424564</v>
      </c>
      <c r="F405" s="23">
        <v>402884.3679277146</v>
      </c>
      <c r="G405" s="24">
        <v>0.501125652306476</v>
      </c>
      <c r="H405" s="24">
        <v>0.4819560900885686</v>
      </c>
    </row>
    <row r="406">
      <c r="A406" s="17" t="s">
        <v>816</v>
      </c>
      <c r="B406" s="18" t="str">
        <f>VLOOKUP($A406,Results!$A$2:$C$436,2,FALSE)</f>
        <v>Bobby Scott</v>
      </c>
      <c r="C406" s="19" t="str">
        <f>VLOOKUP($A406,Results!$A$2:$C$436,3,FALSE)</f>
        <v>(D)</v>
      </c>
      <c r="D406" s="23">
        <v>230576.24439339736</v>
      </c>
      <c r="E406" s="23">
        <v>101133.58809714855</v>
      </c>
      <c r="F406" s="23">
        <v>337411.37486060656</v>
      </c>
      <c r="G406" s="24">
        <v>0.6833683200178252</v>
      </c>
      <c r="H406" s="24">
        <v>0.2997337838385842</v>
      </c>
    </row>
    <row r="407">
      <c r="A407" s="17" t="s">
        <v>818</v>
      </c>
      <c r="B407" s="18" t="str">
        <f>VLOOKUP($A407,Results!$A$2:$C$436,2,FALSE)</f>
        <v>Jennifer McClellan</v>
      </c>
      <c r="C407" s="19" t="str">
        <f>VLOOKUP($A407,Results!$A$2:$C$436,3,FALSE)</f>
        <v>(D)</v>
      </c>
      <c r="D407" s="23">
        <v>260886.47276497676</v>
      </c>
      <c r="E407" s="23">
        <v>122375.41090361413</v>
      </c>
      <c r="F407" s="23">
        <v>388139.92075412784</v>
      </c>
      <c r="G407" s="24">
        <v>0.6721454269844059</v>
      </c>
      <c r="H407" s="24">
        <v>0.31528684466634493</v>
      </c>
    </row>
    <row r="408">
      <c r="A408" s="17" t="s">
        <v>820</v>
      </c>
      <c r="B408" s="18" t="str">
        <f>VLOOKUP($A408,Results!$A$2:$C$436,2,FALSE)</f>
        <v>Bob Good</v>
      </c>
      <c r="C408" s="19" t="str">
        <f>VLOOKUP($A408,Results!$A$2:$C$436,3,FALSE)</f>
        <v>(R)</v>
      </c>
      <c r="D408" s="23">
        <v>194989.11253552954</v>
      </c>
      <c r="E408" s="23">
        <v>230682.0458124345</v>
      </c>
      <c r="F408" s="23">
        <v>431686.41361421807</v>
      </c>
      <c r="G408" s="24">
        <v>0.45169156680891975</v>
      </c>
      <c r="H408" s="24">
        <v>0.5343741163431341</v>
      </c>
    </row>
    <row r="409">
      <c r="A409" s="17" t="s">
        <v>822</v>
      </c>
      <c r="B409" s="18" t="str">
        <f>VLOOKUP($A409,Results!$A$2:$C$436,2,FALSE)</f>
        <v>Ben Cline</v>
      </c>
      <c r="C409" s="19" t="str">
        <f>VLOOKUP($A409,Results!$A$2:$C$436,3,FALSE)</f>
        <v>(R)</v>
      </c>
      <c r="D409" s="23">
        <v>133543.29220638616</v>
      </c>
      <c r="E409" s="23">
        <v>208274.46716002596</v>
      </c>
      <c r="F409" s="23">
        <v>347395.2402277129</v>
      </c>
      <c r="G409" s="24">
        <v>0.3844131316216375</v>
      </c>
      <c r="H409" s="24">
        <v>0.5995317236456805</v>
      </c>
    </row>
    <row r="410">
      <c r="A410" s="17" t="s">
        <v>824</v>
      </c>
      <c r="B410" s="18" t="str">
        <f>VLOOKUP($A410,Results!$A$2:$C$436,2,FALSE)</f>
        <v>Abigail Spanberger</v>
      </c>
      <c r="C410" s="19" t="str">
        <f>VLOOKUP($A410,Results!$A$2:$C$436,3,FALSE)</f>
        <v>(D)</v>
      </c>
      <c r="D410" s="23">
        <v>204950.90882286942</v>
      </c>
      <c r="E410" s="23">
        <v>178471.88164125307</v>
      </c>
      <c r="F410" s="23">
        <v>389585.48423366324</v>
      </c>
      <c r="G410" s="24">
        <v>0.5260742946468334</v>
      </c>
      <c r="H410" s="24">
        <v>0.4581071134935055</v>
      </c>
    </row>
    <row r="411">
      <c r="A411" s="17" t="s">
        <v>826</v>
      </c>
      <c r="B411" s="18" t="str">
        <f>VLOOKUP($A411,Results!$A$2:$C$436,2,FALSE)</f>
        <v>Don Beyer</v>
      </c>
      <c r="C411" s="19" t="str">
        <f>VLOOKUP($A411,Results!$A$2:$C$436,3,FALSE)</f>
        <v>(D)</v>
      </c>
      <c r="D411" s="23">
        <v>305118.4446053085</v>
      </c>
      <c r="E411" s="23">
        <v>84141.91115553302</v>
      </c>
      <c r="F411" s="23">
        <v>394439.4190881414</v>
      </c>
      <c r="G411" s="24">
        <v>0.7735495740022038</v>
      </c>
      <c r="H411" s="24">
        <v>0.213320239011737</v>
      </c>
    </row>
    <row r="412">
      <c r="A412" s="17" t="s">
        <v>828</v>
      </c>
      <c r="B412" s="18" t="str">
        <f>VLOOKUP($A412,Results!$A$2:$C$436,2,FALSE)</f>
        <v>Morgan Griffith</v>
      </c>
      <c r="C412" s="19" t="str">
        <f>VLOOKUP($A412,Results!$A$2:$C$436,3,FALSE)</f>
        <v>(R)</v>
      </c>
      <c r="D412" s="23">
        <v>114162.82024437393</v>
      </c>
      <c r="E412" s="23">
        <v>282093.02914919535</v>
      </c>
      <c r="F412" s="23">
        <v>401051.4015473478</v>
      </c>
      <c r="G412" s="24">
        <v>0.28465882379143354</v>
      </c>
      <c r="H412" s="24">
        <v>0.7033837260281751</v>
      </c>
    </row>
    <row r="413">
      <c r="A413" s="17" t="s">
        <v>830</v>
      </c>
      <c r="B413" s="18" t="str">
        <f>VLOOKUP($A413,Results!$A$2:$C$436,2,FALSE)</f>
        <v>Jennifer Wexton</v>
      </c>
      <c r="C413" s="19" t="str">
        <f>VLOOKUP($A413,Results!$A$2:$C$436,3,FALSE)</f>
        <v>(D)</v>
      </c>
      <c r="D413" s="23">
        <v>238976.07163306663</v>
      </c>
      <c r="E413" s="23">
        <v>164941.48466904092</v>
      </c>
      <c r="F413" s="23">
        <v>410020.6438123756</v>
      </c>
      <c r="G413" s="24">
        <v>0.5828391210039205</v>
      </c>
      <c r="H413" s="24">
        <v>0.4022760491652652</v>
      </c>
    </row>
    <row r="414">
      <c r="A414" s="17" t="s">
        <v>832</v>
      </c>
      <c r="B414" s="18" t="str">
        <f>VLOOKUP($A414,Results!$A$2:$C$436,2,FALSE)</f>
        <v>Gerry Connolly</v>
      </c>
      <c r="C414" s="19" t="str">
        <f>VLOOKUP($A414,Results!$A$2:$C$436,3,FALSE)</f>
        <v>(D)</v>
      </c>
      <c r="D414" s="23">
        <v>295688.0977269135</v>
      </c>
      <c r="E414" s="23">
        <v>121172.18620888611</v>
      </c>
      <c r="F414" s="23">
        <v>422707.1446868082</v>
      </c>
      <c r="G414" s="24">
        <v>0.6995105274267235</v>
      </c>
      <c r="H414" s="24">
        <v>0.28665753047222536</v>
      </c>
    </row>
    <row r="415">
      <c r="A415" s="17" t="s">
        <v>834</v>
      </c>
      <c r="B415" s="18" t="str">
        <f>VLOOKUP($A415,Results!$A$2:$C$436,2,FALSE)</f>
        <v>Becca Balint</v>
      </c>
      <c r="C415" s="19" t="str">
        <f>VLOOKUP($A415,Results!$A$2:$C$436,3,FALSE)</f>
        <v>(D)</v>
      </c>
      <c r="D415" s="20">
        <v>242820.0</v>
      </c>
      <c r="E415" s="21">
        <v>112704.0</v>
      </c>
      <c r="F415" s="21">
        <v>365486.0</v>
      </c>
      <c r="G415" s="22">
        <v>0.6643756532397957</v>
      </c>
      <c r="H415" s="22">
        <v>0.30836748876837966</v>
      </c>
    </row>
    <row r="416">
      <c r="A416" s="17" t="s">
        <v>836</v>
      </c>
      <c r="B416" s="18" t="str">
        <f>VLOOKUP($A416,Results!$A$2:$C$436,2,FALSE)</f>
        <v>Suzan DelBene</v>
      </c>
      <c r="C416" s="19" t="str">
        <f>VLOOKUP($A416,Results!$A$2:$C$436,3,FALSE)</f>
        <v>(D)</v>
      </c>
      <c r="D416" s="23">
        <v>250877.48280318698</v>
      </c>
      <c r="E416" s="23">
        <v>130740.42831214394</v>
      </c>
      <c r="F416" s="23">
        <v>392183.10365901364</v>
      </c>
      <c r="G416" s="24">
        <v>0.6396947764004494</v>
      </c>
      <c r="H416" s="24">
        <v>0.33336578524764066</v>
      </c>
    </row>
    <row r="417">
      <c r="A417" s="17" t="s">
        <v>838</v>
      </c>
      <c r="B417" s="18" t="str">
        <f>VLOOKUP($A417,Results!$A$2:$C$436,2,FALSE)</f>
        <v>Rick Larsen</v>
      </c>
      <c r="C417" s="19" t="str">
        <f>VLOOKUP($A417,Results!$A$2:$C$436,3,FALSE)</f>
        <v>(D)</v>
      </c>
      <c r="D417" s="23">
        <v>263072.90861265076</v>
      </c>
      <c r="E417" s="23">
        <v>162797.95670387795</v>
      </c>
      <c r="F417" s="23">
        <v>437402.718491665</v>
      </c>
      <c r="G417" s="24">
        <v>0.6014432409561346</v>
      </c>
      <c r="H417" s="24">
        <v>0.37219237517605913</v>
      </c>
    </row>
    <row r="418">
      <c r="A418" s="17" t="s">
        <v>840</v>
      </c>
      <c r="B418" s="18" t="str">
        <f>VLOOKUP($A418,Results!$A$2:$C$436,2,FALSE)</f>
        <v>Marie Gluesenkamp Perez</v>
      </c>
      <c r="C418" s="19" t="str">
        <f>VLOOKUP($A418,Results!$A$2:$C$436,3,FALSE)</f>
        <v>(D)</v>
      </c>
      <c r="D418" s="23">
        <v>196217.85659864047</v>
      </c>
      <c r="E418" s="23">
        <v>213901.79123902987</v>
      </c>
      <c r="F418" s="23">
        <v>420816.69106573565</v>
      </c>
      <c r="G418" s="24">
        <v>0.466278692752682</v>
      </c>
      <c r="H418" s="24">
        <v>0.5083015854179043</v>
      </c>
    </row>
    <row r="419">
      <c r="A419" s="17" t="s">
        <v>842</v>
      </c>
      <c r="B419" s="18" t="str">
        <f>VLOOKUP($A419,Results!$A$2:$C$436,2,FALSE)</f>
        <v>Dan Newhouse</v>
      </c>
      <c r="C419" s="19" t="str">
        <f>VLOOKUP($A419,Results!$A$2:$C$436,3,FALSE)</f>
        <v>(R)</v>
      </c>
      <c r="D419" s="23">
        <v>130107.45907557794</v>
      </c>
      <c r="E419" s="23">
        <v>184862.5164608457</v>
      </c>
      <c r="F419" s="23">
        <v>323034.30817876256</v>
      </c>
      <c r="G419" s="24">
        <v>0.40276669004327037</v>
      </c>
      <c r="H419" s="24">
        <v>0.5722689874740656</v>
      </c>
    </row>
    <row r="420">
      <c r="A420" s="17" t="s">
        <v>844</v>
      </c>
      <c r="B420" s="18" t="str">
        <f>VLOOKUP($A420,Results!$A$2:$C$436,2,FALSE)</f>
        <v>Cathy McMorris Rodgers</v>
      </c>
      <c r="C420" s="19" t="str">
        <f>VLOOKUP($A420,Results!$A$2:$C$436,3,FALSE)</f>
        <v>(R)</v>
      </c>
      <c r="D420" s="23">
        <v>180837.59647997763</v>
      </c>
      <c r="E420" s="23">
        <v>222224.08423359875</v>
      </c>
      <c r="F420" s="23">
        <v>415270.0772379041</v>
      </c>
      <c r="G420" s="24">
        <v>0.4354698457514375</v>
      </c>
      <c r="H420" s="24">
        <v>0.5351314636288826</v>
      </c>
    </row>
    <row r="421">
      <c r="A421" s="17" t="s">
        <v>846</v>
      </c>
      <c r="B421" s="18" t="str">
        <f>VLOOKUP($A421,Results!$A$2:$C$436,2,FALSE)</f>
        <v>Derek Kilmer</v>
      </c>
      <c r="C421" s="19" t="str">
        <f>VLOOKUP($A421,Results!$A$2:$C$436,3,FALSE)</f>
        <v>(D)</v>
      </c>
      <c r="D421" s="23">
        <v>253641.14426847862</v>
      </c>
      <c r="E421" s="23">
        <v>177177.97337246296</v>
      </c>
      <c r="F421" s="23">
        <v>444191.2988446184</v>
      </c>
      <c r="G421" s="24">
        <v>0.571017813559658</v>
      </c>
      <c r="H421" s="24">
        <v>0.3988776318521296</v>
      </c>
    </row>
    <row r="422">
      <c r="A422" s="17" t="s">
        <v>848</v>
      </c>
      <c r="B422" s="18" t="str">
        <f>VLOOKUP($A422,Results!$A$2:$C$436,2,FALSE)</f>
        <v>Pramila Jayapal</v>
      </c>
      <c r="C422" s="19" t="str">
        <f>VLOOKUP($A422,Results!$A$2:$C$436,3,FALSE)</f>
        <v>(D)</v>
      </c>
      <c r="D422" s="23">
        <v>395386.0501261939</v>
      </c>
      <c r="E422" s="23">
        <v>51351.45412549744</v>
      </c>
      <c r="F422" s="23">
        <v>455643.78674171894</v>
      </c>
      <c r="G422" s="24">
        <v>0.8677525330775946</v>
      </c>
      <c r="H422" s="24">
        <v>0.11270087647350263</v>
      </c>
    </row>
    <row r="423">
      <c r="A423" s="17" t="s">
        <v>850</v>
      </c>
      <c r="B423" s="18" t="str">
        <f>VLOOKUP($A423,Results!$A$2:$C$436,2,FALSE)</f>
        <v>Kim Schrier</v>
      </c>
      <c r="C423" s="19" t="str">
        <f>VLOOKUP($A423,Results!$A$2:$C$436,3,FALSE)</f>
        <v>(D)</v>
      </c>
      <c r="D423" s="23">
        <v>226803.53702477884</v>
      </c>
      <c r="E423" s="23">
        <v>197508.1571007655</v>
      </c>
      <c r="F423" s="23">
        <v>435842.64348299993</v>
      </c>
      <c r="G423" s="24">
        <v>0.5203794085229876</v>
      </c>
      <c r="H423" s="24">
        <v>0.45316391145757473</v>
      </c>
    </row>
    <row r="424">
      <c r="A424" s="17" t="s">
        <v>852</v>
      </c>
      <c r="B424" s="18" t="str">
        <f>VLOOKUP($A424,Results!$A$2:$C$436,2,FALSE)</f>
        <v>Adam Smith</v>
      </c>
      <c r="C424" s="19" t="str">
        <f>VLOOKUP($A424,Results!$A$2:$C$436,3,FALSE)</f>
        <v>(D)</v>
      </c>
      <c r="D424" s="23">
        <v>255761.8549985449</v>
      </c>
      <c r="E424" s="23">
        <v>94176.57820832795</v>
      </c>
      <c r="F424" s="23">
        <v>357483.66485328216</v>
      </c>
      <c r="G424" s="24">
        <v>0.7154504670962077</v>
      </c>
      <c r="H424" s="24">
        <v>0.26344302542321685</v>
      </c>
    </row>
    <row r="425">
      <c r="A425" s="17" t="s">
        <v>854</v>
      </c>
      <c r="B425" s="18" t="str">
        <f>VLOOKUP($A425,Results!$A$2:$C$436,2,FALSE)</f>
        <v>Marilyn Strickland</v>
      </c>
      <c r="C425" s="19" t="str">
        <f>VLOOKUP($A425,Results!$A$2:$C$436,3,FALSE)</f>
        <v>(D)</v>
      </c>
      <c r="D425" s="23">
        <v>216906.11001197</v>
      </c>
      <c r="E425" s="23">
        <v>149910.06024344996</v>
      </c>
      <c r="F425" s="23">
        <v>378510.7074442997</v>
      </c>
      <c r="G425" s="24">
        <v>0.5730514507146119</v>
      </c>
      <c r="H425" s="24">
        <v>0.39605236336810945</v>
      </c>
    </row>
    <row r="426">
      <c r="A426" s="17" t="s">
        <v>856</v>
      </c>
      <c r="B426" s="18" t="str">
        <f>VLOOKUP($A426,Results!$A$2:$C$436,2,FALSE)</f>
        <v>Bryan Steil</v>
      </c>
      <c r="C426" s="19" t="str">
        <f>VLOOKUP($A426,Results!$A$2:$C$436,3,FALSE)</f>
        <v>(R)</v>
      </c>
      <c r="D426" s="23">
        <v>190050.18149806833</v>
      </c>
      <c r="E426" s="23">
        <v>197950.49596201006</v>
      </c>
      <c r="F426" s="23">
        <v>393705.6806417107</v>
      </c>
      <c r="G426" s="24">
        <v>0.4827214613421396</v>
      </c>
      <c r="H426" s="24">
        <v>0.5027880106768223</v>
      </c>
    </row>
    <row r="427">
      <c r="A427" s="17" t="s">
        <v>858</v>
      </c>
      <c r="B427" s="18" t="str">
        <f>VLOOKUP($A427,Results!$A$2:$C$436,2,FALSE)</f>
        <v>Mark Pocan</v>
      </c>
      <c r="C427" s="19" t="str">
        <f>VLOOKUP($A427,Results!$A$2:$C$436,3,FALSE)</f>
        <v>(D)</v>
      </c>
      <c r="D427" s="23">
        <v>310866.16188758885</v>
      </c>
      <c r="E427" s="23">
        <v>125927.9921965714</v>
      </c>
      <c r="F427" s="23">
        <v>442951.07688288105</v>
      </c>
      <c r="G427" s="24">
        <v>0.7018069897813652</v>
      </c>
      <c r="H427" s="24">
        <v>0.2842932295881234</v>
      </c>
    </row>
    <row r="428">
      <c r="A428" s="17" t="s">
        <v>860</v>
      </c>
      <c r="B428" s="18" t="str">
        <f>VLOOKUP($A428,Results!$A$2:$C$436,2,FALSE)</f>
        <v>Derrick Van Orden</v>
      </c>
      <c r="C428" s="19" t="str">
        <f>VLOOKUP($A428,Results!$A$2:$C$436,3,FALSE)</f>
        <v>(R)</v>
      </c>
      <c r="D428" s="23">
        <v>185088.02013176796</v>
      </c>
      <c r="E428" s="23">
        <v>203588.8662870285</v>
      </c>
      <c r="F428" s="23">
        <v>395550.8236175326</v>
      </c>
      <c r="G428" s="24">
        <v>0.4679247496921759</v>
      </c>
      <c r="H428" s="24">
        <v>0.5146971112968365</v>
      </c>
    </row>
    <row r="429">
      <c r="A429" s="17" t="s">
        <v>862</v>
      </c>
      <c r="B429" s="18" t="str">
        <f>VLOOKUP($A429,Results!$A$2:$C$436,2,FALSE)</f>
        <v>Gwen Moore</v>
      </c>
      <c r="C429" s="19" t="str">
        <f>VLOOKUP($A429,Results!$A$2:$C$436,3,FALSE)</f>
        <v>(D)</v>
      </c>
      <c r="D429" s="23">
        <v>260145.1644143878</v>
      </c>
      <c r="E429" s="23">
        <v>78292.19046839268</v>
      </c>
      <c r="F429" s="23">
        <v>342657.3193735313</v>
      </c>
      <c r="G429" s="24">
        <v>0.7591992048790971</v>
      </c>
      <c r="H429" s="24">
        <v>0.22848538770901383</v>
      </c>
    </row>
    <row r="430">
      <c r="A430" s="17" t="s">
        <v>864</v>
      </c>
      <c r="B430" s="18" t="str">
        <f>VLOOKUP($A430,Results!$A$2:$C$436,2,FALSE)</f>
        <v>Scott Fitzgerald</v>
      </c>
      <c r="C430" s="19" t="str">
        <f>VLOOKUP($A430,Results!$A$2:$C$436,3,FALSE)</f>
        <v>(R)</v>
      </c>
      <c r="D430" s="23">
        <v>175985.66681866776</v>
      </c>
      <c r="E430" s="23">
        <v>282389.5520106024</v>
      </c>
      <c r="F430" s="23">
        <v>464783.9673545484</v>
      </c>
      <c r="G430" s="24">
        <v>0.378639710445136</v>
      </c>
      <c r="H430" s="24">
        <v>0.6075716286383622</v>
      </c>
    </row>
    <row r="431">
      <c r="A431" s="17" t="s">
        <v>866</v>
      </c>
      <c r="B431" s="18" t="str">
        <f>VLOOKUP($A431,Results!$A$2:$C$436,2,FALSE)</f>
        <v>Glenn Grothman</v>
      </c>
      <c r="C431" s="19" t="str">
        <f>VLOOKUP($A431,Results!$A$2:$C$436,3,FALSE)</f>
        <v>(R)</v>
      </c>
      <c r="D431" s="23">
        <v>171948.8967633925</v>
      </c>
      <c r="E431" s="23">
        <v>237088.323050452</v>
      </c>
      <c r="F431" s="23">
        <v>415756.548407973</v>
      </c>
      <c r="G431" s="24">
        <v>0.41358072992914763</v>
      </c>
      <c r="H431" s="24">
        <v>0.5702575797262062</v>
      </c>
    </row>
    <row r="432">
      <c r="A432" s="17" t="s">
        <v>868</v>
      </c>
      <c r="B432" s="18" t="str">
        <f>VLOOKUP($A432,Results!$A$2:$C$436,2,FALSE)</f>
        <v>Tom Tiffany</v>
      </c>
      <c r="C432" s="19" t="str">
        <f>VLOOKUP($A432,Results!$A$2:$C$436,3,FALSE)</f>
        <v>(R)</v>
      </c>
      <c r="D432" s="23">
        <v>165849.85537024008</v>
      </c>
      <c r="E432" s="23">
        <v>250173.36664469837</v>
      </c>
      <c r="F432" s="23">
        <v>422462.6261816642</v>
      </c>
      <c r="G432" s="24">
        <v>0.39257876340266507</v>
      </c>
      <c r="H432" s="24">
        <v>0.5921786949672578</v>
      </c>
    </row>
    <row r="433">
      <c r="A433" s="17" t="s">
        <v>870</v>
      </c>
      <c r="B433" s="18" t="str">
        <f>VLOOKUP($A433,Results!$A$2:$C$436,2,FALSE)</f>
        <v>Mike Gallagher</v>
      </c>
      <c r="C433" s="19" t="str">
        <f>VLOOKUP($A433,Results!$A$2:$C$436,3,FALSE)</f>
        <v>(R)</v>
      </c>
      <c r="D433" s="23">
        <v>170932.05311588672</v>
      </c>
      <c r="E433" s="23">
        <v>234773.2133802446</v>
      </c>
      <c r="F433" s="23">
        <v>412077.9575401587</v>
      </c>
      <c r="G433" s="24">
        <v>0.41480513574722977</v>
      </c>
      <c r="H433" s="24">
        <v>0.5697300937465576</v>
      </c>
    </row>
    <row r="434">
      <c r="A434" s="17" t="s">
        <v>872</v>
      </c>
      <c r="B434" s="18" t="str">
        <f>VLOOKUP($A434,Results!$A$2:$C$436,2,FALSE)</f>
        <v>Carol Miller</v>
      </c>
      <c r="C434" s="19" t="str">
        <f>VLOOKUP($A434,Results!$A$2:$C$436,3,FALSE)</f>
        <v>(R)</v>
      </c>
      <c r="D434" s="27">
        <v>112947.0</v>
      </c>
      <c r="E434" s="27">
        <v>273523.0</v>
      </c>
      <c r="F434" s="27">
        <v>392576.0</v>
      </c>
      <c r="G434" s="28">
        <v>0.287707348386045</v>
      </c>
      <c r="H434" s="28">
        <v>0.6967389753831106</v>
      </c>
    </row>
    <row r="435">
      <c r="A435" s="17" t="s">
        <v>874</v>
      </c>
      <c r="B435" s="18" t="str">
        <f>VLOOKUP($A435,Results!$A$2:$C$436,2,FALSE)</f>
        <v>Alex Mooney</v>
      </c>
      <c r="C435" s="19" t="str">
        <f>VLOOKUP($A435,Results!$A$2:$C$436,3,FALSE)</f>
        <v>(R)</v>
      </c>
      <c r="D435" s="27">
        <v>123037.0</v>
      </c>
      <c r="E435" s="27">
        <v>271859.0</v>
      </c>
      <c r="F435" s="27">
        <v>402076.0</v>
      </c>
      <c r="G435" s="28">
        <v>0.30600433748843503</v>
      </c>
      <c r="H435" s="28">
        <v>0.6761383420049941</v>
      </c>
    </row>
    <row r="436">
      <c r="A436" s="17" t="s">
        <v>876</v>
      </c>
      <c r="B436" s="18" t="str">
        <f>VLOOKUP($A436,Results!$A$2:$C$436,2,FALSE)</f>
        <v>Harriet Hageman</v>
      </c>
      <c r="C436" s="19" t="str">
        <f>VLOOKUP($A436,Results!$A$2:$C$436,3,FALSE)</f>
        <v>(R)</v>
      </c>
      <c r="D436" s="29">
        <v>73491.0</v>
      </c>
      <c r="E436" s="30">
        <v>193559.0</v>
      </c>
      <c r="F436" s="30">
        <v>275026.0</v>
      </c>
      <c r="G436" s="31">
        <v>0.26721473606131785</v>
      </c>
      <c r="H436" s="31">
        <v>0.7037843694777949</v>
      </c>
    </row>
  </sheetData>
  <conditionalFormatting sqref="C1:C436">
    <cfRule type="containsText" dxfId="4" priority="1" operator="containsText" text="(D)">
      <formula>NOT(ISERROR(SEARCH(("(D)"),(C1))))</formula>
    </cfRule>
  </conditionalFormatting>
  <conditionalFormatting sqref="C1:C436">
    <cfRule type="containsText" dxfId="3" priority="2" operator="containsText" text="(R)">
      <formula>NOT(ISERROR(SEARCH(("(R)"),(C1))))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88"/>
  </cols>
  <sheetData>
    <row r="1">
      <c r="A1" s="32" t="s">
        <v>881</v>
      </c>
    </row>
    <row r="2">
      <c r="A2" s="32" t="s">
        <v>882</v>
      </c>
    </row>
    <row r="4">
      <c r="A4" s="32" t="s">
        <v>883</v>
      </c>
    </row>
    <row r="6">
      <c r="A6" s="33" t="s">
        <v>884</v>
      </c>
    </row>
    <row r="8">
      <c r="A8" s="33" t="s">
        <v>885</v>
      </c>
    </row>
    <row r="10">
      <c r="A10" s="34" t="s">
        <v>886</v>
      </c>
    </row>
    <row r="11">
      <c r="A11" s="32" t="s">
        <v>887</v>
      </c>
    </row>
    <row r="13">
      <c r="A13" s="34" t="s">
        <v>888</v>
      </c>
    </row>
    <row r="14">
      <c r="A14" s="33" t="s">
        <v>889</v>
      </c>
    </row>
    <row r="15">
      <c r="A15" s="33" t="s">
        <v>890</v>
      </c>
    </row>
    <row r="16">
      <c r="A16" s="33" t="s">
        <v>891</v>
      </c>
    </row>
    <row r="17">
      <c r="A17" s="33" t="s">
        <v>892</v>
      </c>
    </row>
    <row r="18">
      <c r="A18" s="32" t="s">
        <v>893</v>
      </c>
    </row>
    <row r="19">
      <c r="A19" s="32" t="s">
        <v>894</v>
      </c>
    </row>
    <row r="21">
      <c r="A21" s="33" t="s">
        <v>895</v>
      </c>
    </row>
  </sheetData>
  <hyperlinks>
    <hyperlink r:id="rId1" ref="A1"/>
    <hyperlink r:id="rId2" ref="A2"/>
    <hyperlink r:id="rId3" ref="A4"/>
    <hyperlink r:id="rId4" ref="A11"/>
    <hyperlink r:id="rId5" ref="A18"/>
    <hyperlink r:id="rId6" ref="A19"/>
  </hyperlinks>
  <drawing r:id="rId7"/>
</worksheet>
</file>